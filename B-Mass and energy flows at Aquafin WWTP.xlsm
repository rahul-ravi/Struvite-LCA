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/>
  <workbookPr filterPrivacy="1" defaultThemeVersion="124226"/>
  <xr:revisionPtr revIDLastSave="2" documentId="13_ncr:1_{F57A24CC-E2DE-4B46-94EC-8F1D01260A52}" xr6:coauthVersionLast="47" xr6:coauthVersionMax="47" xr10:uidLastSave="{FD599B36-525A-4074-A0C9-CDE7B0CAA7E0}"/>
  <bookViews>
    <workbookView xWindow="-120" yWindow="-120" windowWidth="19440" windowHeight="15000" activeTab="5" xr2:uid="{00000000-000D-0000-FFFF-FFFF00000000}"/>
  </bookViews>
  <sheets>
    <sheet name="Instructions" sheetId="5" r:id="rId1"/>
    <sheet name="Mass flow" sheetId="1" r:id="rId2"/>
    <sheet name="Emissions" sheetId="9" r:id="rId3"/>
    <sheet name="CAPEX, OPEX" sheetId="8" r:id="rId4"/>
    <sheet name="Sankey diagram" sheetId="10" r:id="rId5"/>
    <sheet name="References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K91" i="1" l="1"/>
  <c r="P67" i="8" l="1"/>
  <c r="BA129" i="1" l="1"/>
  <c r="BJ72" i="1"/>
  <c r="F12" i="1"/>
  <c r="I19" i="1" l="1"/>
  <c r="P71" i="8" l="1"/>
  <c r="CI92" i="1" l="1"/>
  <c r="CR87" i="1" s="1"/>
  <c r="CI90" i="1"/>
  <c r="CR86" i="1" s="1"/>
  <c r="AJ88" i="1" l="1"/>
  <c r="AN88" i="1" s="1"/>
  <c r="N20" i="1" l="1"/>
  <c r="U86" i="1"/>
  <c r="O20" i="1"/>
  <c r="K72" i="8"/>
  <c r="K70" i="8"/>
  <c r="K67" i="8"/>
  <c r="K66" i="8"/>
  <c r="K65" i="8"/>
  <c r="I47" i="8"/>
  <c r="I35" i="8"/>
  <c r="K35" i="8" s="1"/>
  <c r="R42" i="8" s="1"/>
  <c r="O32" i="1"/>
  <c r="M32" i="1"/>
  <c r="K47" i="8" l="1"/>
  <c r="R47" i="8"/>
  <c r="I71" i="8"/>
  <c r="K71" i="8" s="1"/>
  <c r="I60" i="8"/>
  <c r="K60" i="8" l="1"/>
  <c r="K74" i="8"/>
  <c r="G20" i="1"/>
  <c r="L19" i="1"/>
  <c r="K19" i="1"/>
  <c r="J19" i="1"/>
  <c r="G19" i="1" l="1"/>
  <c r="N67" i="8" l="1"/>
  <c r="G30" i="1"/>
  <c r="BT84" i="1" l="1"/>
  <c r="BT88" i="1" s="1"/>
  <c r="BK83" i="1"/>
  <c r="BT83" i="1" s="1"/>
  <c r="BW83" i="1" l="1"/>
  <c r="BT87" i="1"/>
  <c r="AZ84" i="1"/>
  <c r="AZ83" i="1"/>
  <c r="AY73" i="1"/>
  <c r="J41" i="8" s="1"/>
  <c r="K41" i="8" s="1"/>
  <c r="AY72" i="1"/>
  <c r="J40" i="8" s="1"/>
  <c r="AY70" i="1"/>
  <c r="AV72" i="1"/>
  <c r="AN83" i="1"/>
  <c r="AW88" i="1" l="1"/>
  <c r="AW90" i="1"/>
  <c r="BW89" i="1"/>
  <c r="BW87" i="1"/>
  <c r="AN92" i="1"/>
  <c r="K40" i="8"/>
  <c r="R36" i="8" s="1"/>
  <c r="J42" i="8"/>
  <c r="BH83" i="1"/>
  <c r="AZ89" i="1"/>
  <c r="AZ90" i="1" s="1"/>
  <c r="AZ87" i="1"/>
  <c r="AZ88" i="1" s="1"/>
  <c r="AN90" i="1"/>
  <c r="U96" i="1" s="1"/>
  <c r="BW90" i="1" l="1"/>
  <c r="BW88" i="1"/>
  <c r="BH87" i="1"/>
  <c r="BA123" i="1"/>
  <c r="M27" i="1" s="1"/>
  <c r="BH89" i="1"/>
  <c r="BA125" i="1"/>
  <c r="Q73" i="1"/>
  <c r="Q74" i="1" l="1"/>
  <c r="P62" i="8" s="1"/>
  <c r="N61" i="1"/>
  <c r="P61" i="1" s="1"/>
  <c r="O22" i="1"/>
  <c r="O29" i="1"/>
  <c r="AY71" i="1"/>
  <c r="BK89" i="1" l="1"/>
  <c r="AA82" i="1"/>
  <c r="U94" i="1"/>
  <c r="O30" i="1" l="1"/>
  <c r="BK90" i="1"/>
  <c r="H74" i="8"/>
  <c r="H50" i="8" l="1"/>
  <c r="K46" i="8"/>
  <c r="K45" i="8"/>
  <c r="K44" i="8"/>
  <c r="K43" i="8"/>
  <c r="AA88" i="1"/>
  <c r="K50" i="8" l="1"/>
  <c r="CF84" i="1"/>
  <c r="AW85" i="1"/>
  <c r="AW84" i="1"/>
  <c r="AW91" i="1" s="1"/>
  <c r="AW92" i="1" s="1"/>
  <c r="AN89" i="1"/>
  <c r="AW89" i="1"/>
  <c r="AZ91" i="1" s="1"/>
  <c r="AZ92" i="1" s="1"/>
  <c r="AN93" i="1"/>
  <c r="AW87" i="1"/>
  <c r="AN91" i="1"/>
  <c r="AN85" i="1"/>
  <c r="AW83" i="1"/>
  <c r="AR89" i="1" l="1"/>
  <c r="BA126" i="1" s="1"/>
  <c r="M18" i="1"/>
  <c r="Q90" i="1" l="1"/>
  <c r="Q103" i="1" s="1"/>
  <c r="U100" i="1" s="1"/>
  <c r="L18" i="1"/>
  <c r="K18" i="1"/>
  <c r="J18" i="1"/>
  <c r="I18" i="1"/>
  <c r="AA73" i="1"/>
  <c r="M21" i="1" s="1"/>
  <c r="AA84" i="1"/>
  <c r="H18" i="1"/>
  <c r="T92" i="1" l="1"/>
  <c r="T90" i="1"/>
  <c r="Y97" i="1" s="1"/>
  <c r="T100" i="1"/>
  <c r="U98" i="1"/>
  <c r="T98" i="1" s="1"/>
  <c r="T96" i="1"/>
  <c r="T94" i="1"/>
  <c r="AA83" i="1"/>
  <c r="AA87" i="1"/>
  <c r="O18" i="1"/>
  <c r="Q106" i="1" s="1"/>
  <c r="P18" i="1"/>
  <c r="G18" i="1" s="1"/>
  <c r="Q109" i="1" l="1"/>
  <c r="T106" i="1" s="1"/>
  <c r="U107" i="1"/>
  <c r="Q83" i="1"/>
  <c r="Q88" i="1" s="1"/>
  <c r="U83" i="1" s="1"/>
  <c r="O21" i="1" l="1"/>
  <c r="T107" i="1"/>
  <c r="AA74" i="1"/>
  <c r="U85" i="1"/>
  <c r="AA7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1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represents the flows/ outputs coming out of each process</t>
        </r>
      </text>
    </comment>
    <comment ref="H1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Ammonia nitrogen</t>
        </r>
      </text>
    </comment>
    <comment ref="I1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Inert organic particulate N</t>
        </r>
      </text>
    </comment>
    <comment ref="J1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Inert soluble N</t>
        </r>
      </text>
    </comment>
    <comment ref="K16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Soluble biodegradable organic N</t>
        </r>
      </text>
    </comment>
    <comment ref="L16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Particulate biodegradable organic N</t>
        </r>
      </text>
    </comment>
    <comment ref="H19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input from Bart</t>
        </r>
      </text>
    </comment>
    <comment ref="H25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Ammonia nitrogen</t>
        </r>
      </text>
    </comment>
    <comment ref="I25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Inert organic particulate N</t>
        </r>
      </text>
    </comment>
    <comment ref="J25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Inert soluble N</t>
        </r>
      </text>
    </comment>
    <comment ref="K25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Soluble biodegradable organic N</t>
        </r>
      </text>
    </comment>
    <comment ref="L25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Particulate biodegradable organic N</t>
        </r>
      </text>
    </comment>
    <comment ref="P70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includes pre-treatment and thickening</t>
        </r>
      </text>
    </comment>
    <comment ref="BF70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32 % MgCl2 solution</t>
        </r>
      </text>
    </comment>
    <comment ref="BI70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dry weight</t>
        </r>
      </text>
    </comment>
    <comment ref="E71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We use filtered effluent as process water.</t>
        </r>
      </text>
    </comment>
    <comment ref="H72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grease is often not collected separately, but together with the residual waste</t>
        </r>
      </text>
    </comment>
    <comment ref="T82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% of total TOC/ TKN/ P</t>
        </r>
      </text>
    </comment>
    <comment ref="BS84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We are not sure if there is additional digestate input from external sources</t>
        </r>
      </text>
    </comment>
    <comment ref="AL85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thickened sludge is not recirculated</t>
        </r>
      </text>
    </comment>
    <comment ref="CU85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organic mattter kg/TDS</t>
        </r>
      </text>
    </comment>
    <comment ref="P86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MLSS = 4.14 g/L</t>
        </r>
      </text>
    </comment>
    <comment ref="AJ88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organic matter= 640.1</t>
        </r>
      </text>
    </comment>
    <comment ref="CI88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organic matter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L3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Unit defined here is kWh/ m3 of wastewater inflow.
Energy usage may also be defined in terms of nutrient flow.
For instance kWh/ kg of influent P </t>
        </r>
      </text>
    </comment>
    <comment ref="H5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 just made a comparison post vs pre</t>
        </r>
      </text>
    </comment>
    <comment ref="L5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Unit defined here is kWh/ m3 of wastewater inflow.
Energy usage may also be defined in terms of nutrient flow.
For instance kWh/ kg of influent P </t>
        </r>
      </text>
    </comment>
    <comment ref="M6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C-source</t>
        </r>
      </text>
    </comment>
    <comment ref="N67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material + man hours, total struvite installation</t>
        </r>
      </text>
    </comment>
    <comment ref="M71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polymer savings</t>
        </r>
      </text>
    </comment>
    <comment ref="N71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less scaling problems</t>
        </r>
      </text>
    </comment>
    <comment ref="O72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general cost saving because of higher DS in dewatered sludge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2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https://www.scribd.com/doc/53548281/atv-dvwk-a-198-e</t>
        </r>
      </text>
    </comment>
  </commentList>
</comments>
</file>

<file path=xl/sharedStrings.xml><?xml version="1.0" encoding="utf-8"?>
<sst xmlns="http://schemas.openxmlformats.org/spreadsheetml/2006/main" count="622" uniqueCount="227">
  <si>
    <t>Automatically Calculated</t>
  </si>
  <si>
    <t>Input Data</t>
  </si>
  <si>
    <t>Table A: Inhabitant specific loads</t>
  </si>
  <si>
    <t>Number of inhabitants</t>
  </si>
  <si>
    <t>COD load</t>
  </si>
  <si>
    <t>g/inh. Day</t>
  </si>
  <si>
    <t>TKN load</t>
  </si>
  <si>
    <t>P load</t>
  </si>
  <si>
    <t>COD/TOC</t>
  </si>
  <si>
    <t>Influent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</si>
  <si>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/day</t>
    </r>
  </si>
  <si>
    <t>BOD load</t>
  </si>
  <si>
    <t>kg/ day</t>
  </si>
  <si>
    <t>Table 1: Nutrient balance</t>
  </si>
  <si>
    <t>Stages</t>
  </si>
  <si>
    <t>Processes</t>
  </si>
  <si>
    <t>Flows</t>
  </si>
  <si>
    <t xml:space="preserve">TOC </t>
  </si>
  <si>
    <t xml:space="preserve">TKN </t>
  </si>
  <si>
    <t>Nitrate</t>
  </si>
  <si>
    <t xml:space="preserve">P </t>
  </si>
  <si>
    <t>COD</t>
  </si>
  <si>
    <t>Heavy metals</t>
  </si>
  <si>
    <r>
      <t>S</t>
    </r>
    <r>
      <rPr>
        <b/>
        <vertAlign val="subscript"/>
        <sz val="11"/>
        <rFont val="Calibri"/>
        <family val="2"/>
      </rPr>
      <t>NH</t>
    </r>
  </si>
  <si>
    <r>
      <t>X</t>
    </r>
    <r>
      <rPr>
        <b/>
        <vertAlign val="subscript"/>
        <sz val="11"/>
        <rFont val="Calibri"/>
        <family val="2"/>
      </rPr>
      <t>NI</t>
    </r>
  </si>
  <si>
    <r>
      <t>S</t>
    </r>
    <r>
      <rPr>
        <b/>
        <vertAlign val="subscript"/>
        <sz val="11"/>
        <rFont val="Calibri"/>
        <family val="2"/>
      </rPr>
      <t>NI</t>
    </r>
  </si>
  <si>
    <r>
      <t>S</t>
    </r>
    <r>
      <rPr>
        <b/>
        <vertAlign val="subscript"/>
        <sz val="11"/>
        <rFont val="Calibri"/>
        <family val="2"/>
      </rPr>
      <t>ND</t>
    </r>
  </si>
  <si>
    <r>
      <t>X</t>
    </r>
    <r>
      <rPr>
        <b/>
        <vertAlign val="subscript"/>
        <sz val="11"/>
        <rFont val="Calibri"/>
        <family val="2"/>
      </rPr>
      <t>ND</t>
    </r>
  </si>
  <si>
    <t>Total</t>
  </si>
  <si>
    <t>Pb</t>
  </si>
  <si>
    <t>Cu</t>
  </si>
  <si>
    <t>Zn</t>
  </si>
  <si>
    <t>Cd</t>
  </si>
  <si>
    <t>Cr</t>
  </si>
  <si>
    <t>Ni</t>
  </si>
  <si>
    <t>(kg/day)</t>
  </si>
  <si>
    <t>mg/kdDS</t>
  </si>
  <si>
    <t>Incoming wastewater</t>
  </si>
  <si>
    <t>Pretreatment (odour control, grit removal)</t>
  </si>
  <si>
    <t>Pre-treated influent</t>
  </si>
  <si>
    <t>Biological treatment</t>
  </si>
  <si>
    <t>Effluent to waterbody</t>
  </si>
  <si>
    <t>Sludge</t>
  </si>
  <si>
    <t>Sludge thickening</t>
  </si>
  <si>
    <t>Thickened sludge</t>
  </si>
  <si>
    <t>&lt; 3.08</t>
  </si>
  <si>
    <t>External sludge</t>
  </si>
  <si>
    <t>Anaerobic Digestion</t>
  </si>
  <si>
    <t>Digestate</t>
  </si>
  <si>
    <t>NuReSys</t>
  </si>
  <si>
    <t>Stripper</t>
  </si>
  <si>
    <t>Stripped digestate</t>
  </si>
  <si>
    <t>Crystalliser &amp; Struvite harvester</t>
  </si>
  <si>
    <t>Surplus digestate</t>
  </si>
  <si>
    <t>Struvite</t>
  </si>
  <si>
    <t>&lt;0.1</t>
  </si>
  <si>
    <t>&lt; 2.0</t>
  </si>
  <si>
    <t>Sludge buffer tank</t>
  </si>
  <si>
    <r>
      <t xml:space="preserve">Digestate </t>
    </r>
    <r>
      <rPr>
        <vertAlign val="subscript"/>
        <sz val="11"/>
        <color rgb="FF000000"/>
        <rFont val="Calibri"/>
        <family val="2"/>
        <scheme val="minor"/>
      </rPr>
      <t>buffer tank</t>
    </r>
  </si>
  <si>
    <t>&lt; 2.93</t>
  </si>
  <si>
    <t>Dewatering</t>
  </si>
  <si>
    <t>Centrate</t>
  </si>
  <si>
    <t>Solid fraction digestate</t>
  </si>
  <si>
    <t>Drying</t>
  </si>
  <si>
    <t>Dried digestate</t>
  </si>
  <si>
    <t>&lt; 3.10</t>
  </si>
  <si>
    <t>Table 2</t>
  </si>
  <si>
    <t>Please enter the raw / auxiliary materials at each stage and also the respective C, N and P flows</t>
  </si>
  <si>
    <t>TPY</t>
  </si>
  <si>
    <t>Stage 1 -Pre-treatment</t>
  </si>
  <si>
    <t>Stage 2 -Biological treatment</t>
  </si>
  <si>
    <t xml:space="preserve">Stage 3 -Sludge thickening </t>
  </si>
  <si>
    <t>Stage 4-Anaerobic digestion</t>
  </si>
  <si>
    <t>Stage 5-NuReSys struvite recovery</t>
  </si>
  <si>
    <t>Stage 6-Sludge Buffer tank</t>
  </si>
  <si>
    <t>Stage 7-Dewatering</t>
  </si>
  <si>
    <t>Stage 8-Drying</t>
  </si>
  <si>
    <t>Input</t>
  </si>
  <si>
    <t>Output</t>
  </si>
  <si>
    <t>Value</t>
  </si>
  <si>
    <t>Unit</t>
  </si>
  <si>
    <t xml:space="preserve"> Sludge</t>
  </si>
  <si>
    <t>Electricity</t>
  </si>
  <si>
    <t>Residual waste</t>
  </si>
  <si>
    <t>kg/day</t>
  </si>
  <si>
    <t>kWh/day</t>
  </si>
  <si>
    <t>Biogas yield</t>
  </si>
  <si>
    <t>m³/day</t>
  </si>
  <si>
    <t>Magnesium</t>
  </si>
  <si>
    <t>Tap water</t>
  </si>
  <si>
    <t>Sand/ grit</t>
  </si>
  <si>
    <t>Polymers</t>
  </si>
  <si>
    <t>Heat</t>
  </si>
  <si>
    <t>ton TS</t>
  </si>
  <si>
    <t>NaOH</t>
  </si>
  <si>
    <t>struvite P</t>
  </si>
  <si>
    <t>polymers</t>
  </si>
  <si>
    <t>Bleach</t>
  </si>
  <si>
    <t>grease</t>
  </si>
  <si>
    <t>recirculated sludge</t>
  </si>
  <si>
    <t>tonnes TS</t>
  </si>
  <si>
    <t xml:space="preserve">Electricity </t>
  </si>
  <si>
    <t>struvite N</t>
  </si>
  <si>
    <t>external sludge</t>
  </si>
  <si>
    <t>Soda</t>
  </si>
  <si>
    <t>saccharose 65%</t>
  </si>
  <si>
    <t>TKN</t>
  </si>
  <si>
    <t>External sludge siccity</t>
  </si>
  <si>
    <t>%</t>
  </si>
  <si>
    <t>MJ/day</t>
  </si>
  <si>
    <t>%DS</t>
  </si>
  <si>
    <t>tonnes/day</t>
  </si>
  <si>
    <t>Total P</t>
  </si>
  <si>
    <t>C,N and P flows</t>
  </si>
  <si>
    <t>C,N, P and mass flows</t>
  </si>
  <si>
    <t>Effluent</t>
  </si>
  <si>
    <t>TOC</t>
  </si>
  <si>
    <t>C sludge</t>
  </si>
  <si>
    <t>Sludge  (for AD)</t>
  </si>
  <si>
    <t>tonnes TS/ day</t>
  </si>
  <si>
    <t>Internal</t>
  </si>
  <si>
    <r>
      <t xml:space="preserve">Digestate </t>
    </r>
    <r>
      <rPr>
        <vertAlign val="subscript"/>
        <sz val="11"/>
        <color theme="1"/>
        <rFont val="Calibri"/>
        <family val="2"/>
        <scheme val="minor"/>
      </rPr>
      <t>buffer tank</t>
    </r>
  </si>
  <si>
    <r>
      <t xml:space="preserve">Digestate </t>
    </r>
    <r>
      <rPr>
        <vertAlign val="subscript"/>
        <sz val="11"/>
        <color theme="1"/>
        <rFont val="Calibri"/>
        <family val="2"/>
        <scheme val="minor"/>
      </rPr>
      <t>buffer tank</t>
    </r>
    <r>
      <rPr>
        <sz val="11"/>
        <color theme="1"/>
        <rFont val="Calibri"/>
        <family val="2"/>
        <scheme val="minor"/>
      </rPr>
      <t xml:space="preserve">
</t>
    </r>
  </si>
  <si>
    <t xml:space="preserve">Solid fraction Digestate </t>
  </si>
  <si>
    <t>N org</t>
  </si>
  <si>
    <t>Siccity</t>
  </si>
  <si>
    <t>External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</si>
  <si>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-C to air</t>
    </r>
  </si>
  <si>
    <r>
      <t>NO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-N</t>
    </r>
  </si>
  <si>
    <t>Sludge (for recirculation)</t>
  </si>
  <si>
    <t>kg/ tonne TS</t>
  </si>
  <si>
    <t>TOC  Dried digestate</t>
  </si>
  <si>
    <t>TOC (recirculated sludge)</t>
  </si>
  <si>
    <t>C effluent</t>
  </si>
  <si>
    <r>
      <t>NO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-N</t>
    </r>
  </si>
  <si>
    <t>TKN Dried digestate</t>
  </si>
  <si>
    <t>TOC (Centrate)</t>
  </si>
  <si>
    <r>
      <t>NH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-N</t>
    </r>
  </si>
  <si>
    <t>P</t>
  </si>
  <si>
    <t>P Dried digestate</t>
  </si>
  <si>
    <t>Total TOC</t>
  </si>
  <si>
    <r>
      <t>PO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-P effluent</t>
    </r>
  </si>
  <si>
    <t>TOC (for AD)</t>
  </si>
  <si>
    <t xml:space="preserve"> TOC Solid fraction Digestate</t>
  </si>
  <si>
    <t>TOC (for recirculation)</t>
  </si>
  <si>
    <t>TOC Centrate</t>
  </si>
  <si>
    <r>
      <t>NH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-N effluent</t>
    </r>
  </si>
  <si>
    <t>TKN (for AD)</t>
  </si>
  <si>
    <t xml:space="preserve"> TKN Solid fraction Digestate</t>
  </si>
  <si>
    <t>TKN (for recirculation)</t>
  </si>
  <si>
    <t>TKN Centrate</t>
  </si>
  <si>
    <r>
      <t>NO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-N &amp; NO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-N</t>
    </r>
  </si>
  <si>
    <t>P (for AD)</t>
  </si>
  <si>
    <t xml:space="preserve"> P Solid fraction Digestate</t>
  </si>
  <si>
    <t>P (for recirculation)</t>
  </si>
  <si>
    <t>P Centrate</t>
  </si>
  <si>
    <t>dissolved organic N</t>
  </si>
  <si>
    <t>TKN (recirculated sludge)</t>
  </si>
  <si>
    <t>N sludge</t>
  </si>
  <si>
    <r>
      <t>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to air</t>
    </r>
  </si>
  <si>
    <r>
      <t>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O-N to air</t>
    </r>
  </si>
  <si>
    <t>Transport distance of dried digestate to the cement industry</t>
  </si>
  <si>
    <t>km</t>
  </si>
  <si>
    <t>Total TKN</t>
  </si>
  <si>
    <t>kg</t>
  </si>
  <si>
    <t>P (recirculated sludge)</t>
  </si>
  <si>
    <t>P sludge</t>
  </si>
  <si>
    <t>P (Centrate)</t>
  </si>
  <si>
    <t>Emissions from WWTP_IPCC</t>
  </si>
  <si>
    <t>N2O</t>
  </si>
  <si>
    <t>kg N2O-N/ kg N</t>
  </si>
  <si>
    <t>CAPEX, Operation and Maintenance</t>
  </si>
  <si>
    <t>Table 3</t>
  </si>
  <si>
    <t>Component</t>
  </si>
  <si>
    <t>List of machinery used</t>
  </si>
  <si>
    <r>
      <t>Capacity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</si>
  <si>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 xml:space="preserve">CAPEX </t>
  </si>
  <si>
    <t>€</t>
  </si>
  <si>
    <t>Crystalliser</t>
  </si>
  <si>
    <t>Struvite harvester</t>
  </si>
  <si>
    <t>total installation</t>
  </si>
  <si>
    <t>Table 4</t>
  </si>
  <si>
    <t>Stage</t>
  </si>
  <si>
    <t>Pre-NuReSys implementation</t>
  </si>
  <si>
    <t>Quantity used</t>
  </si>
  <si>
    <t xml:space="preserve">Energy usage </t>
  </si>
  <si>
    <t>Costs</t>
  </si>
  <si>
    <t>% of total</t>
  </si>
  <si>
    <t>Utilised from grid</t>
  </si>
  <si>
    <t>Generated</t>
  </si>
  <si>
    <t xml:space="preserve">Net usage </t>
  </si>
  <si>
    <t>Energy usage based on flow</t>
  </si>
  <si>
    <t>Raw material usage</t>
  </si>
  <si>
    <t>Maintenance</t>
  </si>
  <si>
    <t>kWh/year</t>
  </si>
  <si>
    <t>kWh/ year</t>
  </si>
  <si>
    <r>
      <t>kWh/ m</t>
    </r>
    <r>
      <rPr>
        <vertAlign val="superscript"/>
        <sz val="11"/>
        <color theme="1"/>
        <rFont val="Calibri"/>
        <family val="2"/>
        <scheme val="minor"/>
      </rPr>
      <t>3</t>
    </r>
  </si>
  <si>
    <t>€ /year</t>
  </si>
  <si>
    <t>tonnes/year</t>
  </si>
  <si>
    <t>Pre-treatment</t>
  </si>
  <si>
    <t>Anaerobic contact tanks</t>
  </si>
  <si>
    <t>Oxidation ditch</t>
  </si>
  <si>
    <t>Settling tank</t>
  </si>
  <si>
    <t>Anaerobic digestion</t>
  </si>
  <si>
    <t>NA</t>
  </si>
  <si>
    <t>Table 5</t>
  </si>
  <si>
    <t>Post-NuReSys implementation</t>
  </si>
  <si>
    <t>Conversion factor</t>
  </si>
  <si>
    <t>=</t>
  </si>
  <si>
    <t>kWh</t>
  </si>
  <si>
    <t>MJ</t>
  </si>
  <si>
    <t>WW loads</t>
  </si>
  <si>
    <r>
      <t>S</t>
    </r>
    <r>
      <rPr>
        <vertAlign val="subscript"/>
        <sz val="11"/>
        <rFont val="Calibri"/>
        <family val="2"/>
        <scheme val="minor"/>
      </rPr>
      <t>NH</t>
    </r>
  </si>
  <si>
    <t>NH4-N</t>
  </si>
  <si>
    <r>
      <t>X</t>
    </r>
    <r>
      <rPr>
        <vertAlign val="subscript"/>
        <sz val="11"/>
        <rFont val="Calibri"/>
        <family val="2"/>
        <scheme val="minor"/>
      </rPr>
      <t>NI</t>
    </r>
  </si>
  <si>
    <t>inert organic particulate N</t>
  </si>
  <si>
    <r>
      <t>S</t>
    </r>
    <r>
      <rPr>
        <vertAlign val="subscript"/>
        <sz val="11"/>
        <rFont val="Calibri"/>
        <family val="2"/>
        <scheme val="minor"/>
      </rPr>
      <t>NI</t>
    </r>
  </si>
  <si>
    <t>inert soluble N</t>
  </si>
  <si>
    <r>
      <t>S</t>
    </r>
    <r>
      <rPr>
        <vertAlign val="subscript"/>
        <sz val="11"/>
        <rFont val="Calibri"/>
        <family val="2"/>
        <scheme val="minor"/>
      </rPr>
      <t>ND</t>
    </r>
  </si>
  <si>
    <t>soluble biodegradable organic N</t>
  </si>
  <si>
    <r>
      <t>X</t>
    </r>
    <r>
      <rPr>
        <vertAlign val="subscript"/>
        <sz val="11"/>
        <rFont val="Calibri"/>
        <family val="2"/>
        <scheme val="minor"/>
      </rPr>
      <t>ND</t>
    </r>
  </si>
  <si>
    <t>particulate biodegradable organic N</t>
  </si>
  <si>
    <t>OM to TOC conversion</t>
  </si>
  <si>
    <t>OC =</t>
  </si>
  <si>
    <t>OM</t>
  </si>
  <si>
    <t>From internal</t>
  </si>
  <si>
    <t>Uncrecoverable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</si>
</sst>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_€_-;\-* #,##0.00\ _€_-;_-* &quot;-&quot;??\ _€_-;_-@_-"/>
    <numFmt numFmtId="165" formatCode="0.0"/>
    <numFmt numFmtId="166" formatCode="#,##0.0"/>
    <numFmt numFmtId="167" formatCode="_ [$€-413]\ * #,##0.00_ ;_ [$€-413]\ * \-#,##0.00_ ;_ [$€-413]\ * &quot;-&quot;??_ ;_ @_ "/>
    <numFmt numFmtId="168" formatCode="_-* #,##0\ _€_-;\-* #,##0\ _€_-;_-* &quot;-&quot;??\ _€_-;_-@_-"/>
  </numFmts>
  <fonts count="2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vertAlign val="subscript"/>
      <sz val="11"/>
      <name val="Calibri"/>
      <family val="2"/>
      <scheme val="minor"/>
    </font>
    <font>
      <i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bscript"/>
      <sz val="11"/>
      <name val="Calibri"/>
      <family val="2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bscript"/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3499862666707357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8" fillId="0" borderId="0" applyFont="0" applyFill="0" applyBorder="0" applyAlignment="0" applyProtection="0"/>
  </cellStyleXfs>
  <cellXfs count="323">
    <xf numFmtId="0" fontId="0" fillId="0" borderId="0" xfId="0"/>
    <xf numFmtId="0" fontId="0" fillId="0" borderId="1" xfId="0" applyBorder="1"/>
    <xf numFmtId="0" fontId="3" fillId="0" borderId="6" xfId="0" applyFont="1" applyBorder="1" applyAlignment="1">
      <alignment horizontal="left" vertical="center" readingOrder="1"/>
    </xf>
    <xf numFmtId="2" fontId="3" fillId="0" borderId="8" xfId="0" applyNumberFormat="1" applyFont="1" applyFill="1" applyBorder="1"/>
    <xf numFmtId="0" fontId="3" fillId="0" borderId="4" xfId="0" applyFont="1" applyBorder="1" applyAlignment="1">
      <alignment horizontal="left" vertical="center" readingOrder="1"/>
    </xf>
    <xf numFmtId="2" fontId="6" fillId="0" borderId="9" xfId="0" applyNumberFormat="1" applyFont="1" applyFill="1" applyBorder="1"/>
    <xf numFmtId="0" fontId="0" fillId="0" borderId="0" xfId="0" applyFont="1" applyBorder="1"/>
    <xf numFmtId="2" fontId="3" fillId="0" borderId="9" xfId="0" applyNumberFormat="1" applyFont="1" applyFill="1" applyBorder="1"/>
    <xf numFmtId="0" fontId="3" fillId="0" borderId="10" xfId="0" applyFont="1" applyBorder="1" applyAlignment="1">
      <alignment horizontal="left" vertical="center" readingOrder="1"/>
    </xf>
    <xf numFmtId="0" fontId="0" fillId="0" borderId="11" xfId="0" applyFont="1" applyBorder="1"/>
    <xf numFmtId="2" fontId="6" fillId="0" borderId="12" xfId="0" applyNumberFormat="1" applyFont="1" applyFill="1" applyBorder="1"/>
    <xf numFmtId="9" fontId="0" fillId="0" borderId="7" xfId="0" applyNumberFormat="1" applyFont="1" applyFill="1" applyBorder="1" applyAlignment="1">
      <alignment horizontal="center"/>
    </xf>
    <xf numFmtId="10" fontId="0" fillId="0" borderId="0" xfId="0" applyNumberFormat="1" applyFont="1" applyFill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9" fontId="0" fillId="0" borderId="11" xfId="0" applyNumberFormat="1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0" xfId="0" applyFill="1"/>
    <xf numFmtId="0" fontId="2" fillId="4" borderId="0" xfId="0" applyFont="1" applyFill="1"/>
    <xf numFmtId="0" fontId="0" fillId="4" borderId="1" xfId="0" applyFill="1" applyBorder="1"/>
    <xf numFmtId="0" fontId="0" fillId="4" borderId="0" xfId="0" applyFill="1" applyBorder="1"/>
    <xf numFmtId="0" fontId="3" fillId="4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" xfId="0" applyFill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0" fillId="4" borderId="3" xfId="0" applyFill="1" applyBorder="1" applyAlignment="1"/>
    <xf numFmtId="0" fontId="0" fillId="4" borderId="1" xfId="0" applyFon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Border="1" applyAlignment="1">
      <alignment horizontal="center"/>
    </xf>
    <xf numFmtId="10" fontId="0" fillId="4" borderId="0" xfId="0" applyNumberFormat="1" applyFill="1" applyBorder="1"/>
    <xf numFmtId="0" fontId="0" fillId="4" borderId="0" xfId="0" applyFill="1" applyBorder="1" applyAlignment="1">
      <alignment horizont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 vertical="center" readingOrder="1"/>
    </xf>
    <xf numFmtId="0" fontId="12" fillId="4" borderId="8" xfId="0" applyFont="1" applyFill="1" applyBorder="1" applyAlignment="1">
      <alignment horizontal="center" vertical="center" readingOrder="1"/>
    </xf>
    <xf numFmtId="0" fontId="2" fillId="4" borderId="2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10" fontId="0" fillId="5" borderId="1" xfId="0" applyNumberFormat="1" applyFill="1" applyBorder="1"/>
    <xf numFmtId="0" fontId="3" fillId="5" borderId="1" xfId="0" applyFont="1" applyFill="1" applyBorder="1" applyAlignment="1">
      <alignment horizontal="center"/>
    </xf>
    <xf numFmtId="3" fontId="3" fillId="5" borderId="1" xfId="0" applyNumberFormat="1" applyFont="1" applyFill="1" applyBorder="1" applyAlignment="1">
      <alignment horizontal="center"/>
    </xf>
    <xf numFmtId="3" fontId="0" fillId="5" borderId="1" xfId="0" applyNumberFormat="1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0" fillId="5" borderId="1" xfId="0" applyFill="1" applyBorder="1"/>
    <xf numFmtId="0" fontId="12" fillId="8" borderId="1" xfId="0" applyFont="1" applyFill="1" applyBorder="1" applyAlignment="1">
      <alignment horizontal="center"/>
    </xf>
    <xf numFmtId="3" fontId="0" fillId="3" borderId="1" xfId="0" applyNumberFormat="1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5" borderId="1" xfId="0" applyFill="1" applyBorder="1" applyAlignment="1"/>
    <xf numFmtId="0" fontId="0" fillId="3" borderId="1" xfId="0" applyFill="1" applyBorder="1" applyAlignment="1">
      <alignment horizontal="center" vertical="center"/>
    </xf>
    <xf numFmtId="0" fontId="0" fillId="0" borderId="0" xfId="0" applyBorder="1"/>
    <xf numFmtId="10" fontId="0" fillId="4" borderId="0" xfId="0" applyNumberFormat="1" applyFill="1" applyBorder="1" applyAlignment="1">
      <alignment horizontal="center"/>
    </xf>
    <xf numFmtId="10" fontId="0" fillId="5" borderId="1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0" fontId="0" fillId="3" borderId="1" xfId="0" applyFill="1" applyBorder="1"/>
    <xf numFmtId="0" fontId="0" fillId="9" borderId="1" xfId="0" applyFill="1" applyBorder="1"/>
    <xf numFmtId="0" fontId="0" fillId="0" borderId="5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/>
    </xf>
    <xf numFmtId="0" fontId="0" fillId="9" borderId="13" xfId="0" applyFill="1" applyBorder="1" applyAlignment="1">
      <alignment horizontal="center" vertical="center"/>
    </xf>
    <xf numFmtId="10" fontId="0" fillId="9" borderId="1" xfId="0" applyNumberFormat="1" applyFill="1" applyBorder="1" applyAlignment="1">
      <alignment horizontal="center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11" fillId="4" borderId="0" xfId="0" applyFont="1" applyFill="1" applyBorder="1" applyAlignment="1">
      <alignment horizontal="center"/>
    </xf>
    <xf numFmtId="0" fontId="0" fillId="5" borderId="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14" fillId="4" borderId="0" xfId="0" applyFont="1" applyFill="1" applyBorder="1"/>
    <xf numFmtId="0" fontId="11" fillId="4" borderId="0" xfId="0" applyFont="1" applyFill="1" applyBorder="1"/>
    <xf numFmtId="0" fontId="0" fillId="5" borderId="0" xfId="0" applyFill="1" applyBorder="1" applyAlignment="1">
      <alignment horizontal="center"/>
    </xf>
    <xf numFmtId="3" fontId="0" fillId="3" borderId="1" xfId="0" applyNumberFormat="1" applyFont="1" applyFill="1" applyBorder="1" applyAlignment="1">
      <alignment horizontal="center"/>
    </xf>
    <xf numFmtId="164" fontId="8" fillId="3" borderId="2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 wrapText="1"/>
    </xf>
    <xf numFmtId="0" fontId="14" fillId="5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 vertical="center" wrapText="1"/>
    </xf>
    <xf numFmtId="0" fontId="11" fillId="4" borderId="0" xfId="0" applyFont="1" applyFill="1"/>
    <xf numFmtId="0" fontId="17" fillId="4" borderId="13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 readingOrder="1"/>
    </xf>
    <xf numFmtId="0" fontId="0" fillId="5" borderId="13" xfId="0" applyFont="1" applyFill="1" applyBorder="1" applyAlignment="1">
      <alignment horizontal="center"/>
    </xf>
    <xf numFmtId="0" fontId="0" fillId="5" borderId="1" xfId="0" quotePrefix="1" applyFont="1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2" fontId="3" fillId="5" borderId="1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 vertical="center"/>
    </xf>
    <xf numFmtId="1" fontId="8" fillId="5" borderId="1" xfId="0" applyNumberFormat="1" applyFon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center" vertical="center"/>
    </xf>
    <xf numFmtId="166" fontId="0" fillId="5" borderId="1" xfId="0" applyNumberFormat="1" applyFont="1" applyFill="1" applyBorder="1" applyAlignment="1">
      <alignment horizontal="center"/>
    </xf>
    <xf numFmtId="4" fontId="0" fillId="5" borderId="1" xfId="0" applyNumberFormat="1" applyFont="1" applyFill="1" applyBorder="1" applyAlignment="1">
      <alignment horizontal="center"/>
    </xf>
    <xf numFmtId="167" fontId="0" fillId="5" borderId="1" xfId="0" applyNumberFormat="1" applyFill="1" applyBorder="1"/>
    <xf numFmtId="164" fontId="19" fillId="3" borderId="1" xfId="0" applyNumberFormat="1" applyFon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0" fillId="5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" fontId="0" fillId="5" borderId="1" xfId="0" applyNumberFormat="1" applyFill="1" applyBorder="1"/>
    <xf numFmtId="1" fontId="0" fillId="5" borderId="1" xfId="2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 vertical="center"/>
    </xf>
    <xf numFmtId="10" fontId="0" fillId="5" borderId="1" xfId="0" applyNumberFormat="1" applyFill="1" applyBorder="1" applyAlignment="1">
      <alignment horizontal="center" vertical="center"/>
    </xf>
    <xf numFmtId="0" fontId="0" fillId="11" borderId="1" xfId="0" applyFill="1" applyBorder="1"/>
    <xf numFmtId="0" fontId="0" fillId="11" borderId="1" xfId="0" applyFill="1" applyBorder="1" applyAlignment="1">
      <alignment horizontal="center"/>
    </xf>
    <xf numFmtId="0" fontId="0" fillId="0" borderId="22" xfId="0" applyBorder="1" applyAlignment="1">
      <alignment horizontal="center"/>
    </xf>
    <xf numFmtId="2" fontId="3" fillId="5" borderId="1" xfId="0" applyNumberFormat="1" applyFont="1" applyFill="1" applyBorder="1" applyAlignment="1">
      <alignment horizontal="center" vertical="center"/>
    </xf>
    <xf numFmtId="4" fontId="0" fillId="4" borderId="0" xfId="0" applyNumberForma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2" fontId="0" fillId="4" borderId="0" xfId="0" applyNumberFormat="1" applyFill="1" applyBorder="1"/>
    <xf numFmtId="2" fontId="0" fillId="4" borderId="0" xfId="0" applyNumberFormat="1" applyFill="1" applyBorder="1" applyAlignment="1">
      <alignment horizontal="center" vertical="center"/>
    </xf>
    <xf numFmtId="4" fontId="0" fillId="4" borderId="0" xfId="0" applyNumberFormat="1" applyFill="1" applyBorder="1" applyAlignment="1">
      <alignment horizontal="center" vertical="center"/>
    </xf>
    <xf numFmtId="164" fontId="0" fillId="4" borderId="0" xfId="0" applyNumberFormat="1" applyFill="1" applyBorder="1"/>
    <xf numFmtId="0" fontId="0" fillId="0" borderId="0" xfId="0" applyBorder="1" applyAlignment="1"/>
    <xf numFmtId="2" fontId="0" fillId="4" borderId="1" xfId="0" applyNumberFormat="1" applyFill="1" applyBorder="1" applyAlignment="1">
      <alignment horizontal="center"/>
    </xf>
    <xf numFmtId="0" fontId="0" fillId="4" borderId="8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9" fillId="3" borderId="0" xfId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9" fillId="3" borderId="7" xfId="1" applyFill="1" applyBorder="1" applyAlignment="1">
      <alignment horizontal="center" vertical="center"/>
    </xf>
    <xf numFmtId="0" fontId="0" fillId="3" borderId="8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9" fillId="3" borderId="11" xfId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0" fontId="0" fillId="5" borderId="3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3" fontId="3" fillId="4" borderId="0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164" fontId="0" fillId="5" borderId="3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4" borderId="1" xfId="0" applyFill="1" applyBorder="1" applyAlignment="1">
      <alignment horizontal="center" wrapText="1"/>
    </xf>
    <xf numFmtId="0" fontId="0" fillId="5" borderId="3" xfId="0" applyNumberFormat="1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4" borderId="0" xfId="0" applyNumberFormat="1" applyFill="1" applyBorder="1"/>
    <xf numFmtId="1" fontId="0" fillId="4" borderId="0" xfId="0" applyNumberFormat="1" applyFill="1"/>
    <xf numFmtId="0" fontId="2" fillId="4" borderId="1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4" fontId="2" fillId="5" borderId="1" xfId="0" applyNumberFormat="1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4" fontId="3" fillId="5" borderId="1" xfId="0" applyNumberFormat="1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12" fillId="4" borderId="13" xfId="0" applyFont="1" applyFill="1" applyBorder="1" applyAlignment="1">
      <alignment horizontal="center" vertical="center" readingOrder="1"/>
    </xf>
    <xf numFmtId="0" fontId="12" fillId="4" borderId="14" xfId="0" applyFont="1" applyFill="1" applyBorder="1" applyAlignment="1">
      <alignment horizontal="center" vertical="center" readingOrder="1"/>
    </xf>
    <xf numFmtId="0" fontId="12" fillId="4" borderId="15" xfId="0" applyFont="1" applyFill="1" applyBorder="1" applyAlignment="1">
      <alignment horizontal="center" vertical="center" readingOrder="1"/>
    </xf>
    <xf numFmtId="0" fontId="0" fillId="4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9" fillId="0" borderId="6" xfId="1" applyBorder="1" applyAlignment="1">
      <alignment horizontal="center" vertical="center"/>
    </xf>
    <xf numFmtId="0" fontId="9" fillId="0" borderId="8" xfId="1" applyBorder="1" applyAlignment="1">
      <alignment horizontal="center" vertical="center"/>
    </xf>
    <xf numFmtId="0" fontId="9" fillId="0" borderId="4" xfId="1" applyBorder="1" applyAlignment="1">
      <alignment horizontal="center" vertical="center"/>
    </xf>
    <xf numFmtId="0" fontId="9" fillId="0" borderId="9" xfId="1" applyBorder="1" applyAlignment="1">
      <alignment horizontal="center" vertical="center"/>
    </xf>
    <xf numFmtId="0" fontId="9" fillId="0" borderId="1" xfId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0" fontId="9" fillId="4" borderId="1" xfId="1" applyFill="1" applyBorder="1" applyAlignment="1">
      <alignment horizontal="center" vertical="center"/>
    </xf>
    <xf numFmtId="0" fontId="9" fillId="0" borderId="3" xfId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64" fontId="0" fillId="3" borderId="2" xfId="0" applyNumberFormat="1" applyFill="1" applyBorder="1" applyAlignment="1">
      <alignment horizontal="center" vertical="center"/>
    </xf>
    <xf numFmtId="164" fontId="0" fillId="3" borderId="5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3" fontId="3" fillId="3" borderId="2" xfId="0" applyNumberFormat="1" applyFont="1" applyFill="1" applyBorder="1" applyAlignment="1">
      <alignment horizontal="center" vertical="center"/>
    </xf>
    <xf numFmtId="3" fontId="3" fillId="3" borderId="5" xfId="0" applyNumberFormat="1" applyFont="1" applyFill="1" applyBorder="1" applyAlignment="1">
      <alignment horizontal="center" vertical="center"/>
    </xf>
    <xf numFmtId="3" fontId="3" fillId="3" borderId="3" xfId="0" applyNumberFormat="1" applyFont="1" applyFill="1" applyBorder="1" applyAlignment="1">
      <alignment horizontal="center" vertical="center"/>
    </xf>
    <xf numFmtId="10" fontId="0" fillId="5" borderId="2" xfId="0" applyNumberFormat="1" applyFill="1" applyBorder="1" applyAlignment="1">
      <alignment horizontal="center"/>
    </xf>
    <xf numFmtId="10" fontId="0" fillId="5" borderId="3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164" fontId="19" fillId="3" borderId="2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center"/>
    </xf>
    <xf numFmtId="164" fontId="19" fillId="3" borderId="2" xfId="0" applyNumberFormat="1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9" fontId="0" fillId="5" borderId="1" xfId="2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3" fontId="0" fillId="3" borderId="2" xfId="0" applyNumberFormat="1" applyFont="1" applyFill="1" applyBorder="1" applyAlignment="1">
      <alignment horizontal="center" vertical="center"/>
    </xf>
    <xf numFmtId="3" fontId="0" fillId="3" borderId="5" xfId="0" applyNumberFormat="1" applyFont="1" applyFill="1" applyBorder="1" applyAlignment="1">
      <alignment horizontal="center" vertical="center"/>
    </xf>
    <xf numFmtId="3" fontId="0" fillId="3" borderId="3" xfId="0" applyNumberFormat="1" applyFont="1" applyFill="1" applyBorder="1" applyAlignment="1">
      <alignment horizontal="center" vertical="center"/>
    </xf>
    <xf numFmtId="10" fontId="0" fillId="5" borderId="5" xfId="0" applyNumberFormat="1" applyFill="1" applyBorder="1" applyAlignment="1">
      <alignment horizontal="center"/>
    </xf>
    <xf numFmtId="3" fontId="0" fillId="4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3" fontId="3" fillId="4" borderId="0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64" fontId="0" fillId="5" borderId="2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0" fontId="0" fillId="5" borderId="2" xfId="0" applyNumberFormat="1" applyFill="1" applyBorder="1" applyAlignment="1">
      <alignment horizontal="center" vertical="center"/>
    </xf>
    <xf numFmtId="10" fontId="0" fillId="5" borderId="5" xfId="0" applyNumberFormat="1" applyFill="1" applyBorder="1" applyAlignment="1">
      <alignment horizontal="center" vertical="center"/>
    </xf>
    <xf numFmtId="10" fontId="0" fillId="5" borderId="3" xfId="0" applyNumberFormat="1" applyFill="1" applyBorder="1" applyAlignment="1">
      <alignment horizontal="center" vertical="center"/>
    </xf>
    <xf numFmtId="164" fontId="0" fillId="3" borderId="2" xfId="0" applyNumberFormat="1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0" fontId="2" fillId="8" borderId="15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NumberForma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0" fontId="0" fillId="4" borderId="3" xfId="0" applyNumberFormat="1" applyFill="1" applyBorder="1" applyAlignment="1">
      <alignment horizontal="center" vertical="center"/>
    </xf>
    <xf numFmtId="0" fontId="17" fillId="4" borderId="2" xfId="0" applyNumberFormat="1" applyFont="1" applyFill="1" applyBorder="1" applyAlignment="1">
      <alignment horizontal="center" vertical="center"/>
    </xf>
    <xf numFmtId="0" fontId="17" fillId="4" borderId="5" xfId="0" applyNumberFormat="1" applyFont="1" applyFill="1" applyBorder="1" applyAlignment="1">
      <alignment horizontal="center" vertical="center"/>
    </xf>
    <xf numFmtId="0" fontId="17" fillId="4" borderId="3" xfId="0" applyNumberFormat="1" applyFont="1" applyFill="1" applyBorder="1" applyAlignment="1">
      <alignment horizontal="center" vertical="center"/>
    </xf>
    <xf numFmtId="1" fontId="17" fillId="3" borderId="2" xfId="0" applyNumberFormat="1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3" fontId="0" fillId="4" borderId="2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11" fillId="0" borderId="20" xfId="0" applyFont="1" applyBorder="1" applyAlignment="1">
      <alignment horizontal="left"/>
    </xf>
    <xf numFmtId="0" fontId="0" fillId="4" borderId="1" xfId="0" applyFill="1" applyBorder="1" applyAlignment="1">
      <alignment horizontal="center" wrapText="1"/>
    </xf>
    <xf numFmtId="0" fontId="0" fillId="9" borderId="1" xfId="0" applyFill="1" applyBorder="1" applyAlignment="1">
      <alignment horizontal="center" vertical="center"/>
    </xf>
    <xf numFmtId="0" fontId="0" fillId="5" borderId="2" xfId="0" applyNumberForma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0" fontId="0" fillId="5" borderId="3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10" fontId="17" fillId="4" borderId="2" xfId="0" applyNumberFormat="1" applyFont="1" applyFill="1" applyBorder="1" applyAlignment="1">
      <alignment horizontal="center" vertical="center"/>
    </xf>
    <xf numFmtId="10" fontId="17" fillId="4" borderId="5" xfId="0" applyNumberFormat="1" applyFont="1" applyFill="1" applyBorder="1" applyAlignment="1">
      <alignment horizontal="center" vertical="center"/>
    </xf>
    <xf numFmtId="10" fontId="17" fillId="4" borderId="3" xfId="0" applyNumberFormat="1" applyFont="1" applyFill="1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1" fontId="0" fillId="5" borderId="5" xfId="0" applyNumberFormat="1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17" fillId="4" borderId="2" xfId="0" applyNumberFormat="1" applyFont="1" applyFill="1" applyBorder="1" applyAlignment="1">
      <alignment horizontal="center" vertical="center"/>
    </xf>
    <xf numFmtId="1" fontId="17" fillId="4" borderId="5" xfId="0" applyNumberFormat="1" applyFont="1" applyFill="1" applyBorder="1" applyAlignment="1">
      <alignment horizontal="center" vertical="center"/>
    </xf>
    <xf numFmtId="1" fontId="17" fillId="4" borderId="3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Mass flow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APEX, OPEX'!A1"/><Relationship Id="rId3" Type="http://schemas.openxmlformats.org/officeDocument/2006/relationships/hyperlink" Target="#'With NuReSys'!AV102"/><Relationship Id="rId7" Type="http://schemas.openxmlformats.org/officeDocument/2006/relationships/hyperlink" Target="#'With NuReSys'!BG102"/><Relationship Id="rId2" Type="http://schemas.openxmlformats.org/officeDocument/2006/relationships/hyperlink" Target="#'With NuReSys'!Z102"/><Relationship Id="rId1" Type="http://schemas.openxmlformats.org/officeDocument/2006/relationships/hyperlink" Target="#'With NuReSys'!P102"/><Relationship Id="rId6" Type="http://schemas.openxmlformats.org/officeDocument/2006/relationships/hyperlink" Target="#'With NuReSys'!CR102"/><Relationship Id="rId11" Type="http://schemas.openxmlformats.org/officeDocument/2006/relationships/hyperlink" Target="#'With NuReSys'!AI102"/><Relationship Id="rId5" Type="http://schemas.openxmlformats.org/officeDocument/2006/relationships/hyperlink" Target="#'With NuReSys'!CF102"/><Relationship Id="rId10" Type="http://schemas.openxmlformats.org/officeDocument/2006/relationships/hyperlink" Target="#'Mass flow'!C66"/><Relationship Id="rId4" Type="http://schemas.openxmlformats.org/officeDocument/2006/relationships/hyperlink" Target="#'With NuReSys'!BS102"/><Relationship Id="rId9" Type="http://schemas.openxmlformats.org/officeDocument/2006/relationships/hyperlink" Target="#Instruction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Mass flow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7</xdr:row>
      <xdr:rowOff>180976</xdr:rowOff>
    </xdr:from>
    <xdr:to>
      <xdr:col>9</xdr:col>
      <xdr:colOff>409575</xdr:colOff>
      <xdr:row>31</xdr:row>
      <xdr:rowOff>71438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702469" y="1669257"/>
          <a:ext cx="5172075" cy="453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600"/>
            <a:t>Instructions:</a:t>
          </a:r>
        </a:p>
        <a:p>
          <a:endParaRPr lang="en-GB" sz="1600"/>
        </a:p>
        <a:p>
          <a:r>
            <a:rPr lang="en-GB" sz="1600"/>
            <a:t>1.</a:t>
          </a:r>
          <a:r>
            <a:rPr lang="en-GB" sz="1600" baseline="0"/>
            <a:t> </a:t>
          </a:r>
          <a:r>
            <a:rPr lang="en-GB" sz="1600"/>
            <a:t>The questionnaire is based on the system</a:t>
          </a:r>
          <a:r>
            <a:rPr lang="en-GB" sz="1600" baseline="0"/>
            <a:t> boundary diagram. The numbers on the schema represent the different stages of the WWTP</a:t>
          </a:r>
        </a:p>
        <a:p>
          <a:endParaRPr lang="en-GB" sz="1600" baseline="0"/>
        </a:p>
        <a:p>
          <a:r>
            <a:rPr lang="en-GB" sz="1600" baseline="0"/>
            <a:t>2. Click on the blue arrow to toggle between sheets</a:t>
          </a:r>
        </a:p>
        <a:p>
          <a:endParaRPr lang="en-GB" sz="1600" baseline="0"/>
        </a:p>
        <a:p>
          <a:r>
            <a:rPr lang="en-GB" sz="1600" baseline="0"/>
            <a:t>3. Clicking on the blue arrow in the instructions page leads you to Table 1 (Mass Flow sheet), where a questionnaire for nutrient balance at each stage is provided. Furthermore, another arrow (facing downwards) leads you to Table 2 where the inventory and mass flows for each stage can be filled. </a:t>
          </a:r>
        </a:p>
        <a:p>
          <a:endParaRPr lang="en-GB" sz="1600" baseline="0"/>
        </a:p>
        <a:p>
          <a:r>
            <a:rPr lang="en-GB" sz="1600" baseline="0"/>
            <a:t>4. Finally, after filling in Tables 1 and 2, click on the blue arrow, which leads you to Tables 3, 4 and 5 (CAPEX, OPEX)</a:t>
          </a:r>
        </a:p>
        <a:p>
          <a:endParaRPr lang="en-GB" sz="1600" baseline="0"/>
        </a:p>
        <a:p>
          <a:r>
            <a:rPr lang="en-GB" sz="1600" baseline="0"/>
            <a:t>5. Enter data in the cells which are marked in yellow</a:t>
          </a:r>
        </a:p>
        <a:p>
          <a:endParaRPr lang="en-GB" sz="1600" baseline="0"/>
        </a:p>
        <a:p>
          <a:endParaRPr lang="en-GB" sz="1600"/>
        </a:p>
      </xdr:txBody>
    </xdr:sp>
    <xdr:clientData/>
  </xdr:twoCellAnchor>
  <xdr:twoCellAnchor>
    <xdr:from>
      <xdr:col>26</xdr:col>
      <xdr:colOff>392906</xdr:colOff>
      <xdr:row>11</xdr:row>
      <xdr:rowOff>47625</xdr:rowOff>
    </xdr:from>
    <xdr:to>
      <xdr:col>28</xdr:col>
      <xdr:colOff>95250</xdr:colOff>
      <xdr:row>14</xdr:row>
      <xdr:rowOff>130969</xdr:rowOff>
    </xdr:to>
    <xdr:sp macro="" textlink="">
      <xdr:nvSpPr>
        <xdr:cNvPr id="3" name="Righ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180594" y="2297906"/>
          <a:ext cx="916781" cy="65484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13</xdr:col>
      <xdr:colOff>0</xdr:colOff>
      <xdr:row>8</xdr:row>
      <xdr:rowOff>154782</xdr:rowOff>
    </xdr:from>
    <xdr:to>
      <xdr:col>22</xdr:col>
      <xdr:colOff>295751</xdr:colOff>
      <xdr:row>35</xdr:row>
      <xdr:rowOff>102870</xdr:rowOff>
    </xdr:to>
    <xdr:pic>
      <xdr:nvPicPr>
        <xdr:cNvPr id="5" name="Picture 4" descr="Diagram, schematic&#10;&#10;Description automatically generated">
          <a:extLst>
            <a:ext uri="{FF2B5EF4-FFF2-40B4-BE49-F238E27FC236}">
              <a16:creationId xmlns:a16="http://schemas.microsoft.com/office/drawing/2014/main" id="{6569596E-FAC5-4544-B9C8-436669C23F2C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9219" y="1833563"/>
          <a:ext cx="5760720" cy="54844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438150</xdr:colOff>
      <xdr:row>70</xdr:row>
      <xdr:rowOff>142876</xdr:rowOff>
    </xdr:from>
    <xdr:to>
      <xdr:col>13</xdr:col>
      <xdr:colOff>464344</xdr:colOff>
      <xdr:row>70</xdr:row>
      <xdr:rowOff>154781</xdr:rowOff>
    </xdr:to>
    <xdr:cxnSp macro="">
      <xdr:nvCxnSpPr>
        <xdr:cNvPr id="3" name="Straight Arrow Connector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1784806" y="11989595"/>
          <a:ext cx="2788444" cy="11905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35718</xdr:colOff>
      <xdr:row>71</xdr:row>
      <xdr:rowOff>47623</xdr:rowOff>
    </xdr:from>
    <xdr:to>
      <xdr:col>24</xdr:col>
      <xdr:colOff>309562</xdr:colOff>
      <xdr:row>71</xdr:row>
      <xdr:rowOff>47625</xdr:rowOff>
    </xdr:to>
    <xdr:cxnSp macro="">
      <xdr:nvCxnSpPr>
        <xdr:cNvPr id="5" name="Straight Arrow Connecto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V="1">
          <a:off x="22740937" y="20800217"/>
          <a:ext cx="2047875" cy="2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557212</xdr:colOff>
      <xdr:row>71</xdr:row>
      <xdr:rowOff>188122</xdr:rowOff>
    </xdr:from>
    <xdr:to>
      <xdr:col>44</xdr:col>
      <xdr:colOff>631031</xdr:colOff>
      <xdr:row>71</xdr:row>
      <xdr:rowOff>190499</xdr:rowOff>
    </xdr:to>
    <xdr:cxnSp macro="">
      <xdr:nvCxnSpPr>
        <xdr:cNvPr id="10" name="Straight Arrow Connector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41621868" y="20940716"/>
          <a:ext cx="2359819" cy="2377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464345</xdr:colOff>
      <xdr:row>71</xdr:row>
      <xdr:rowOff>83343</xdr:rowOff>
    </xdr:from>
    <xdr:to>
      <xdr:col>68</xdr:col>
      <xdr:colOff>0</xdr:colOff>
      <xdr:row>71</xdr:row>
      <xdr:rowOff>107156</xdr:rowOff>
    </xdr:to>
    <xdr:cxnSp macro="">
      <xdr:nvCxnSpPr>
        <xdr:cNvPr id="13" name="Straight Arrow Connector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V="1">
          <a:off x="66925033" y="20835937"/>
          <a:ext cx="2976561" cy="23813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690563</xdr:colOff>
      <xdr:row>71</xdr:row>
      <xdr:rowOff>142875</xdr:rowOff>
    </xdr:from>
    <xdr:to>
      <xdr:col>80</xdr:col>
      <xdr:colOff>2382</xdr:colOff>
      <xdr:row>71</xdr:row>
      <xdr:rowOff>145253</xdr:rowOff>
    </xdr:to>
    <xdr:cxnSp macro="">
      <xdr:nvCxnSpPr>
        <xdr:cNvPr id="14" name="Straight Arrow Connecto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77700188" y="20895469"/>
          <a:ext cx="2359819" cy="2378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238126</xdr:colOff>
      <xdr:row>72</xdr:row>
      <xdr:rowOff>11906</xdr:rowOff>
    </xdr:from>
    <xdr:to>
      <xdr:col>92</xdr:col>
      <xdr:colOff>311945</xdr:colOff>
      <xdr:row>72</xdr:row>
      <xdr:rowOff>14284</xdr:rowOff>
    </xdr:to>
    <xdr:cxnSp macro="">
      <xdr:nvCxnSpPr>
        <xdr:cNvPr id="15" name="Straight Arrow Connecto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91047095" y="20990719"/>
          <a:ext cx="2359819" cy="2378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1126330</xdr:colOff>
      <xdr:row>71</xdr:row>
      <xdr:rowOff>154781</xdr:rowOff>
    </xdr:from>
    <xdr:to>
      <xdr:col>56</xdr:col>
      <xdr:colOff>0</xdr:colOff>
      <xdr:row>71</xdr:row>
      <xdr:rowOff>161929</xdr:rowOff>
    </xdr:to>
    <xdr:cxnSp macro="">
      <xdr:nvCxnSpPr>
        <xdr:cNvPr id="16" name="Straight Arrow Connector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V="1">
          <a:off x="53918643" y="20907375"/>
          <a:ext cx="4838701" cy="7148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250032</xdr:colOff>
      <xdr:row>2</xdr:row>
      <xdr:rowOff>178593</xdr:rowOff>
    </xdr:from>
    <xdr:to>
      <xdr:col>11</xdr:col>
      <xdr:colOff>1166813</xdr:colOff>
      <xdr:row>6</xdr:row>
      <xdr:rowOff>71437</xdr:rowOff>
    </xdr:to>
    <xdr:sp macro="" textlink="">
      <xdr:nvSpPr>
        <xdr:cNvPr id="19" name="Right Arrow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2358688" y="559593"/>
          <a:ext cx="916781" cy="65484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547688</xdr:colOff>
      <xdr:row>3</xdr:row>
      <xdr:rowOff>0</xdr:rowOff>
    </xdr:from>
    <xdr:to>
      <xdr:col>10</xdr:col>
      <xdr:colOff>738187</xdr:colOff>
      <xdr:row>6</xdr:row>
      <xdr:rowOff>71437</xdr:rowOff>
    </xdr:to>
    <xdr:sp macro="" textlink="">
      <xdr:nvSpPr>
        <xdr:cNvPr id="20" name="Left Arrow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1132344" y="583406"/>
          <a:ext cx="952499" cy="64293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450057</xdr:colOff>
      <xdr:row>44</xdr:row>
      <xdr:rowOff>176212</xdr:rowOff>
    </xdr:from>
    <xdr:to>
      <xdr:col>10</xdr:col>
      <xdr:colOff>330994</xdr:colOff>
      <xdr:row>49</xdr:row>
      <xdr:rowOff>176211</xdr:rowOff>
    </xdr:to>
    <xdr:sp macro="" textlink="">
      <xdr:nvSpPr>
        <xdr:cNvPr id="21" name="Left Arrow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 rot="16200000">
          <a:off x="10879932" y="9034462"/>
          <a:ext cx="952499" cy="64293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250032</xdr:colOff>
      <xdr:row>4</xdr:row>
      <xdr:rowOff>0</xdr:rowOff>
    </xdr:from>
    <xdr:to>
      <xdr:col>3</xdr:col>
      <xdr:colOff>2024064</xdr:colOff>
      <xdr:row>8</xdr:row>
      <xdr:rowOff>166687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00063" y="773906"/>
          <a:ext cx="3345657" cy="9286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Note: The Inhabitant specific loads (Table A) at</a:t>
          </a:r>
          <a:r>
            <a:rPr lang="en-GB" sz="1100" baseline="0"/>
            <a:t> WWTP is based on the ATV guidelines. In case the values are different for the Aquafin plant, do make changes. This would automatically update Row 18</a:t>
          </a:r>
          <a:endParaRPr lang="en-GB" sz="1100"/>
        </a:p>
      </xdr:txBody>
    </xdr:sp>
    <xdr:clientData/>
  </xdr:twoCellAnchor>
  <xdr:twoCellAnchor>
    <xdr:from>
      <xdr:col>10</xdr:col>
      <xdr:colOff>654844</xdr:colOff>
      <xdr:row>67</xdr:row>
      <xdr:rowOff>47625</xdr:rowOff>
    </xdr:from>
    <xdr:to>
      <xdr:col>12</xdr:col>
      <xdr:colOff>666750</xdr:colOff>
      <xdr:row>69</xdr:row>
      <xdr:rowOff>107156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2239625" y="12906375"/>
          <a:ext cx="2012156" cy="4405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Pre-treated</a:t>
          </a:r>
          <a:r>
            <a:rPr lang="en-GB" sz="1400" baseline="0"/>
            <a:t> inluent</a:t>
          </a:r>
          <a:endParaRPr lang="en-GB" sz="1400"/>
        </a:p>
      </xdr:txBody>
    </xdr:sp>
    <xdr:clientData/>
  </xdr:twoCellAnchor>
  <xdr:twoCellAnchor>
    <xdr:from>
      <xdr:col>25</xdr:col>
      <xdr:colOff>1333500</xdr:colOff>
      <xdr:row>88</xdr:row>
      <xdr:rowOff>47625</xdr:rowOff>
    </xdr:from>
    <xdr:to>
      <xdr:col>27</xdr:col>
      <xdr:colOff>416719</xdr:colOff>
      <xdr:row>97</xdr:row>
      <xdr:rowOff>59530</xdr:rowOff>
    </xdr:to>
    <xdr:cxnSp macro="">
      <xdr:nvCxnSpPr>
        <xdr:cNvPr id="18" name="Straight Arrow Connector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rot="16200000" flipH="1">
          <a:off x="26860501" y="18073687"/>
          <a:ext cx="1893092" cy="1440656"/>
        </a:xfrm>
        <a:prstGeom prst="bentConnector3">
          <a:avLst>
            <a:gd name="adj1" fmla="val 50000"/>
          </a:avLst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321469</xdr:colOff>
      <xdr:row>98</xdr:row>
      <xdr:rowOff>0</xdr:rowOff>
    </xdr:from>
    <xdr:to>
      <xdr:col>28</xdr:col>
      <xdr:colOff>785813</xdr:colOff>
      <xdr:row>99</xdr:row>
      <xdr:rowOff>166688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27670125" y="19871531"/>
          <a:ext cx="1988344" cy="3571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Effluent to waterbody</a:t>
          </a:r>
        </a:p>
      </xdr:txBody>
    </xdr:sp>
    <xdr:clientData/>
  </xdr:twoCellAnchor>
  <xdr:twoCellAnchor>
    <xdr:from>
      <xdr:col>28</xdr:col>
      <xdr:colOff>904876</xdr:colOff>
      <xdr:row>71</xdr:row>
      <xdr:rowOff>119063</xdr:rowOff>
    </xdr:from>
    <xdr:to>
      <xdr:col>31</xdr:col>
      <xdr:colOff>321469</xdr:colOff>
      <xdr:row>71</xdr:row>
      <xdr:rowOff>119063</xdr:rowOff>
    </xdr:to>
    <xdr:cxnSp macro="">
      <xdr:nvCxnSpPr>
        <xdr:cNvPr id="26" name="Straight Arrow Connector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29777532" y="13430251"/>
          <a:ext cx="2155031" cy="0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452439</xdr:colOff>
      <xdr:row>71</xdr:row>
      <xdr:rowOff>59531</xdr:rowOff>
    </xdr:from>
    <xdr:to>
      <xdr:col>24</xdr:col>
      <xdr:colOff>428625</xdr:colOff>
      <xdr:row>83</xdr:row>
      <xdr:rowOff>416717</xdr:rowOff>
    </xdr:to>
    <xdr:cxnSp macro="">
      <xdr:nvCxnSpPr>
        <xdr:cNvPr id="27" name="Straight Arrow Connector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rot="16200000" flipH="1">
          <a:off x="23050502" y="13989844"/>
          <a:ext cx="2988467" cy="1750217"/>
        </a:xfrm>
        <a:prstGeom prst="bentConnector3">
          <a:avLst>
            <a:gd name="adj1" fmla="val 99801"/>
          </a:avLst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69</xdr:row>
      <xdr:rowOff>0</xdr:rowOff>
    </xdr:from>
    <xdr:to>
      <xdr:col>44</xdr:col>
      <xdr:colOff>464344</xdr:colOff>
      <xdr:row>70</xdr:row>
      <xdr:rowOff>166688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42338625" y="12930188"/>
          <a:ext cx="1988344" cy="3571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Thickened</a:t>
          </a:r>
          <a:r>
            <a:rPr lang="en-GB" sz="1100" baseline="0"/>
            <a:t> sludge</a:t>
          </a:r>
          <a:endParaRPr lang="en-GB" sz="1100"/>
        </a:p>
      </xdr:txBody>
    </xdr:sp>
    <xdr:clientData/>
  </xdr:twoCellAnchor>
  <xdr:twoCellAnchor>
    <xdr:from>
      <xdr:col>53</xdr:col>
      <xdr:colOff>511969</xdr:colOff>
      <xdr:row>68</xdr:row>
      <xdr:rowOff>238126</xdr:rowOff>
    </xdr:from>
    <xdr:to>
      <xdr:col>54</xdr:col>
      <xdr:colOff>845344</xdr:colOff>
      <xdr:row>70</xdr:row>
      <xdr:rowOff>142876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55471219" y="12906376"/>
          <a:ext cx="1988344" cy="3571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Digestate</a:t>
          </a:r>
        </a:p>
      </xdr:txBody>
    </xdr:sp>
    <xdr:clientData/>
  </xdr:twoCellAnchor>
  <xdr:twoCellAnchor>
    <xdr:from>
      <xdr:col>65</xdr:col>
      <xdr:colOff>0</xdr:colOff>
      <xdr:row>69</xdr:row>
      <xdr:rowOff>0</xdr:rowOff>
    </xdr:from>
    <xdr:to>
      <xdr:col>67</xdr:col>
      <xdr:colOff>464344</xdr:colOff>
      <xdr:row>70</xdr:row>
      <xdr:rowOff>166688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68032313" y="12930188"/>
          <a:ext cx="1988344" cy="3571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 Surplus Digestate</a:t>
          </a:r>
        </a:p>
      </xdr:txBody>
    </xdr:sp>
    <xdr:clientData/>
  </xdr:twoCellAnchor>
  <xdr:twoCellAnchor>
    <xdr:from>
      <xdr:col>77</xdr:col>
      <xdr:colOff>130968</xdr:colOff>
      <xdr:row>69</xdr:row>
      <xdr:rowOff>35719</xdr:rowOff>
    </xdr:from>
    <xdr:to>
      <xdr:col>79</xdr:col>
      <xdr:colOff>595312</xdr:colOff>
      <xdr:row>71</xdr:row>
      <xdr:rowOff>11907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78712218" y="12965907"/>
          <a:ext cx="1988344" cy="3571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Digestate </a:t>
          </a:r>
          <a:r>
            <a:rPr lang="en-GB" sz="1100" baseline="-25000"/>
            <a:t>buffer tank</a:t>
          </a:r>
        </a:p>
      </xdr:txBody>
    </xdr:sp>
    <xdr:clientData/>
  </xdr:twoCellAnchor>
  <xdr:twoCellAnchor>
    <xdr:from>
      <xdr:col>89</xdr:col>
      <xdr:colOff>452438</xdr:colOff>
      <xdr:row>68</xdr:row>
      <xdr:rowOff>142874</xdr:rowOff>
    </xdr:from>
    <xdr:to>
      <xdr:col>91</xdr:col>
      <xdr:colOff>619126</xdr:colOff>
      <xdr:row>70</xdr:row>
      <xdr:rowOff>154781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94857094" y="12846843"/>
          <a:ext cx="1690688" cy="4643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Solid</a:t>
          </a:r>
          <a:r>
            <a:rPr lang="en-GB" sz="1100" baseline="0"/>
            <a:t> fraction digestate</a:t>
          </a:r>
          <a:endParaRPr lang="en-GB" sz="1100"/>
        </a:p>
      </xdr:txBody>
    </xdr:sp>
    <xdr:clientData/>
  </xdr:twoCellAnchor>
  <xdr:twoCellAnchor>
    <xdr:from>
      <xdr:col>97</xdr:col>
      <xdr:colOff>2405062</xdr:colOff>
      <xdr:row>87</xdr:row>
      <xdr:rowOff>47626</xdr:rowOff>
    </xdr:from>
    <xdr:to>
      <xdr:col>97</xdr:col>
      <xdr:colOff>2464593</xdr:colOff>
      <xdr:row>98</xdr:row>
      <xdr:rowOff>71437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>
          <a:off x="104536875" y="18157032"/>
          <a:ext cx="59531" cy="2536030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600074</xdr:colOff>
      <xdr:row>1</xdr:row>
      <xdr:rowOff>19049</xdr:rowOff>
    </xdr:from>
    <xdr:to>
      <xdr:col>31</xdr:col>
      <xdr:colOff>152399</xdr:colOff>
      <xdr:row>50</xdr:row>
      <xdr:rowOff>118982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72874" y="209549"/>
          <a:ext cx="7477125" cy="9434433"/>
        </a:xfrm>
        <a:prstGeom prst="rect">
          <a:avLst/>
        </a:prstGeom>
      </xdr:spPr>
    </xdr:pic>
    <xdr:clientData/>
  </xdr:twoCellAnchor>
  <xdr:twoCellAnchor editAs="oneCell">
    <xdr:from>
      <xdr:col>19</xdr:col>
      <xdr:colOff>228600</xdr:colOff>
      <xdr:row>114</xdr:row>
      <xdr:rowOff>104775</xdr:rowOff>
    </xdr:from>
    <xdr:to>
      <xdr:col>32</xdr:col>
      <xdr:colOff>304800</xdr:colOff>
      <xdr:row>139</xdr:row>
      <xdr:rowOff>169225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1000" y="21821775"/>
          <a:ext cx="8001000" cy="482695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55</xdr:row>
      <xdr:rowOff>0</xdr:rowOff>
    </xdr:from>
    <xdr:to>
      <xdr:col>32</xdr:col>
      <xdr:colOff>179962</xdr:colOff>
      <xdr:row>71</xdr:row>
      <xdr:rowOff>85333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82400" y="10477500"/>
          <a:ext cx="8104762" cy="31333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231322</xdr:colOff>
      <xdr:row>3</xdr:row>
      <xdr:rowOff>68036</xdr:rowOff>
    </xdr:from>
    <xdr:to>
      <xdr:col>17</xdr:col>
      <xdr:colOff>517072</xdr:colOff>
      <xdr:row>7</xdr:row>
      <xdr:rowOff>54429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641286" y="734786"/>
          <a:ext cx="1510393" cy="830036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542925</xdr:colOff>
      <xdr:row>1</xdr:row>
      <xdr:rowOff>76200</xdr:rowOff>
    </xdr:from>
    <xdr:to>
      <xdr:col>31</xdr:col>
      <xdr:colOff>188258</xdr:colOff>
      <xdr:row>37</xdr:row>
      <xdr:rowOff>132486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2525" y="266700"/>
          <a:ext cx="17933333" cy="69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2</xdr:row>
      <xdr:rowOff>85725</xdr:rowOff>
    </xdr:from>
    <xdr:to>
      <xdr:col>11</xdr:col>
      <xdr:colOff>161195</xdr:colOff>
      <xdr:row>13</xdr:row>
      <xdr:rowOff>180701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8700" y="466725"/>
          <a:ext cx="5838095" cy="2190476"/>
        </a:xfrm>
        <a:prstGeom prst="rect">
          <a:avLst/>
        </a:prstGeom>
      </xdr:spPr>
    </xdr:pic>
    <xdr:clientData/>
  </xdr:twoCellAnchor>
  <xdr:twoCellAnchor editAs="oneCell">
    <xdr:from>
      <xdr:col>13</xdr:col>
      <xdr:colOff>454592</xdr:colOff>
      <xdr:row>2</xdr:row>
      <xdr:rowOff>19050</xdr:rowOff>
    </xdr:from>
    <xdr:to>
      <xdr:col>17</xdr:col>
      <xdr:colOff>1038225</xdr:colOff>
      <xdr:row>21</xdr:row>
      <xdr:rowOff>182282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79392" y="400050"/>
          <a:ext cx="5584258" cy="3782732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17</xdr:row>
      <xdr:rowOff>180975</xdr:rowOff>
    </xdr:from>
    <xdr:to>
      <xdr:col>13</xdr:col>
      <xdr:colOff>323850</xdr:colOff>
      <xdr:row>37</xdr:row>
      <xdr:rowOff>104503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86100" y="3419475"/>
          <a:ext cx="5162550" cy="392402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15</xdr:col>
      <xdr:colOff>265752</xdr:colOff>
      <xdr:row>92</xdr:row>
      <xdr:rowOff>8476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28800" y="9344025"/>
          <a:ext cx="7580952" cy="83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7:C34"/>
  <sheetViews>
    <sheetView topLeftCell="A7" zoomScale="80" zoomScaleNormal="80" workbookViewId="0">
      <selection activeCell="O7" sqref="O7"/>
    </sheetView>
  </sheetViews>
  <sheetFormatPr defaultRowHeight="15" x14ac:dyDescent="0.25"/>
  <cols>
    <col min="1" max="2" width="9.140625" style="17"/>
    <col min="3" max="3" width="25.5703125" style="17" customWidth="1"/>
    <col min="4" max="28" width="9.140625" style="17"/>
    <col min="29" max="29" width="33.140625" style="17" customWidth="1"/>
    <col min="30" max="16384" width="9.140625" style="17"/>
  </cols>
  <sheetData>
    <row r="7" ht="27" customHeight="1" x14ac:dyDescent="0.25"/>
    <row r="33" spans="3:3" ht="40.5" customHeight="1" x14ac:dyDescent="0.35">
      <c r="C33" s="85" t="s">
        <v>0</v>
      </c>
    </row>
    <row r="34" spans="3:3" ht="21" x14ac:dyDescent="0.35">
      <c r="C34" s="86" t="s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autoPageBreaks="0"/>
  </sheetPr>
  <dimension ref="B1:CZ129"/>
  <sheetViews>
    <sheetView topLeftCell="CM49" zoomScale="70" zoomScaleNormal="70" workbookViewId="0">
      <selection activeCell="CC97" sqref="CC97:CH109"/>
    </sheetView>
  </sheetViews>
  <sheetFormatPr defaultColWidth="11.42578125" defaultRowHeight="15" x14ac:dyDescent="0.25"/>
  <cols>
    <col min="1" max="1" width="3.7109375" style="17" customWidth="1"/>
    <col min="2" max="3" width="11.7109375" style="17" customWidth="1"/>
    <col min="4" max="4" width="39.85546875" style="17" customWidth="1"/>
    <col min="5" max="5" width="28.42578125" style="17" customWidth="1"/>
    <col min="6" max="6" width="55.140625" style="17" customWidth="1"/>
    <col min="7" max="7" width="11.42578125" style="17" customWidth="1"/>
    <col min="8" max="8" width="20.140625" style="17" customWidth="1"/>
    <col min="9" max="9" width="14.85546875" style="17" customWidth="1"/>
    <col min="10" max="11" width="11.42578125" style="17" customWidth="1"/>
    <col min="12" max="12" width="18.5703125" style="17" customWidth="1"/>
    <col min="13" max="15" width="11.42578125" style="17" customWidth="1"/>
    <col min="16" max="16" width="23.42578125" style="17" customWidth="1"/>
    <col min="17" max="17" width="17" style="17" customWidth="1"/>
    <col min="18" max="18" width="11.42578125" style="17" customWidth="1"/>
    <col min="19" max="19" width="21.85546875" style="17" customWidth="1"/>
    <col min="20" max="21" width="11.42578125" style="17" customWidth="1"/>
    <col min="22" max="23" width="15.140625" style="17" customWidth="1"/>
    <col min="24" max="25" width="11.42578125" style="17"/>
    <col min="26" max="26" width="24" style="17" customWidth="1"/>
    <col min="27" max="28" width="11.42578125" style="17"/>
    <col min="29" max="29" width="18.28515625" style="17" customWidth="1"/>
    <col min="30" max="34" width="11.42578125" style="17"/>
    <col min="35" max="35" width="15.5703125" style="17" customWidth="1"/>
    <col min="36" max="36" width="11.42578125" style="17"/>
    <col min="37" max="37" width="15.28515625" style="17" customWidth="1"/>
    <col min="38" max="38" width="23.140625" style="17" customWidth="1"/>
    <col min="39" max="39" width="20.5703125" style="17" customWidth="1"/>
    <col min="40" max="40" width="14.7109375" style="17" customWidth="1"/>
    <col min="41" max="41" width="14.42578125" style="17" customWidth="1"/>
    <col min="42" max="46" width="11.42578125" style="17"/>
    <col min="47" max="47" width="23.85546875" style="17" customWidth="1"/>
    <col min="48" max="48" width="17.28515625" style="17" customWidth="1"/>
    <col min="49" max="49" width="11.42578125" style="17" customWidth="1"/>
    <col min="50" max="50" width="27" style="17" customWidth="1"/>
    <col min="51" max="51" width="27.7109375" style="17" customWidth="1"/>
    <col min="52" max="52" width="11.42578125" style="17"/>
    <col min="53" max="55" width="24.85546875" style="17" customWidth="1"/>
    <col min="56" max="57" width="11.42578125" style="17"/>
    <col min="58" max="58" width="20.140625" style="17" customWidth="1"/>
    <col min="59" max="59" width="11.42578125" style="17"/>
    <col min="60" max="60" width="19.85546875" style="17" customWidth="1"/>
    <col min="61" max="61" width="17.140625" style="17" customWidth="1"/>
    <col min="62" max="63" width="11.42578125" style="17"/>
    <col min="64" max="64" width="16.28515625" style="17" customWidth="1"/>
    <col min="65" max="69" width="11.42578125" style="17"/>
    <col min="70" max="70" width="17" style="17" customWidth="1"/>
    <col min="71" max="71" width="17.7109375" style="17" customWidth="1"/>
    <col min="72" max="72" width="11.42578125" style="17"/>
    <col min="73" max="73" width="19" style="17" customWidth="1"/>
    <col min="74" max="74" width="14.140625" style="17" customWidth="1"/>
    <col min="75" max="75" width="11.42578125" style="17"/>
    <col min="76" max="76" width="19.42578125" style="17" customWidth="1"/>
    <col min="77" max="82" width="11.42578125" style="17"/>
    <col min="83" max="83" width="18" style="17" customWidth="1"/>
    <col min="84" max="84" width="11.42578125" style="17"/>
    <col min="85" max="85" width="16.140625" style="17" customWidth="1"/>
    <col min="86" max="86" width="35.42578125" style="17" customWidth="1"/>
    <col min="87" max="87" width="27.140625" style="17" customWidth="1"/>
    <col min="88" max="88" width="25.5703125" style="17" customWidth="1"/>
    <col min="89" max="94" width="11.42578125" style="17"/>
    <col min="95" max="95" width="35.85546875" style="17" customWidth="1"/>
    <col min="96" max="97" width="11.42578125" style="17"/>
    <col min="98" max="98" width="38" style="17" customWidth="1"/>
    <col min="99" max="99" width="29.42578125" style="17" customWidth="1"/>
    <col min="100" max="100" width="29" style="17" customWidth="1"/>
    <col min="101" max="16384" width="11.42578125" style="17"/>
  </cols>
  <sheetData>
    <row r="1" spans="2:23" x14ac:dyDescent="0.25">
      <c r="B1" s="18"/>
    </row>
    <row r="2" spans="2:23" ht="15.75" thickBot="1" x14ac:dyDescent="0.3">
      <c r="V2" s="78"/>
      <c r="W2" s="78"/>
    </row>
    <row r="3" spans="2:23" x14ac:dyDescent="0.25">
      <c r="B3" s="70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2"/>
    </row>
    <row r="4" spans="2:23" x14ac:dyDescent="0.25">
      <c r="B4" s="73"/>
      <c r="C4" s="20"/>
      <c r="D4" s="20"/>
      <c r="E4" s="20" t="s">
        <v>2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74"/>
    </row>
    <row r="5" spans="2:23" x14ac:dyDescent="0.25">
      <c r="B5" s="73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74"/>
    </row>
    <row r="6" spans="2:23" x14ac:dyDescent="0.25">
      <c r="B6" s="73"/>
      <c r="C6" s="20"/>
      <c r="D6" s="20"/>
      <c r="E6" s="167" t="s">
        <v>3</v>
      </c>
      <c r="F6" s="38">
        <v>95000</v>
      </c>
      <c r="G6" s="147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74"/>
    </row>
    <row r="7" spans="2:23" x14ac:dyDescent="0.25">
      <c r="B7" s="73"/>
      <c r="C7" s="20"/>
      <c r="D7" s="20"/>
      <c r="E7" s="147" t="s">
        <v>4</v>
      </c>
      <c r="F7" s="38">
        <v>158.19999999999999</v>
      </c>
      <c r="G7" s="147" t="s">
        <v>5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74"/>
    </row>
    <row r="8" spans="2:23" x14ac:dyDescent="0.25">
      <c r="B8" s="73"/>
      <c r="C8" s="20"/>
      <c r="D8" s="20"/>
      <c r="E8" s="147" t="s">
        <v>6</v>
      </c>
      <c r="F8" s="38">
        <v>12.284000000000001</v>
      </c>
      <c r="G8" s="147" t="s">
        <v>5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74"/>
    </row>
    <row r="9" spans="2:23" x14ac:dyDescent="0.25">
      <c r="B9" s="73"/>
      <c r="C9" s="20"/>
      <c r="D9" s="20"/>
      <c r="E9" s="147" t="s">
        <v>7</v>
      </c>
      <c r="F9" s="38">
        <v>1.9379999999999999</v>
      </c>
      <c r="G9" s="147" t="s">
        <v>5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74"/>
    </row>
    <row r="10" spans="2:23" x14ac:dyDescent="0.25">
      <c r="B10" s="73"/>
      <c r="C10" s="20"/>
      <c r="D10" s="20"/>
      <c r="E10" s="147" t="s">
        <v>8</v>
      </c>
      <c r="F10" s="38">
        <v>3.8</v>
      </c>
      <c r="G10" s="147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74"/>
    </row>
    <row r="11" spans="2:23" ht="17.25" x14ac:dyDescent="0.25">
      <c r="B11" s="73"/>
      <c r="C11" s="20"/>
      <c r="D11" s="20"/>
      <c r="E11" s="147" t="s">
        <v>9</v>
      </c>
      <c r="F11" s="38">
        <v>39670</v>
      </c>
      <c r="G11" s="147" t="s">
        <v>10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74"/>
    </row>
    <row r="12" spans="2:23" x14ac:dyDescent="0.25">
      <c r="B12" s="73"/>
      <c r="C12" s="20"/>
      <c r="D12" s="20"/>
      <c r="E12" s="147" t="s">
        <v>11</v>
      </c>
      <c r="F12" s="147">
        <f>(60*F6)/1000</f>
        <v>5700</v>
      </c>
      <c r="G12" s="147" t="s">
        <v>12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74"/>
    </row>
    <row r="13" spans="2:23" ht="21" x14ac:dyDescent="0.35">
      <c r="B13" s="73"/>
      <c r="C13" s="20"/>
      <c r="D13" s="81" t="s">
        <v>13</v>
      </c>
      <c r="E13" s="24"/>
      <c r="F13" s="24"/>
      <c r="G13" s="24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74"/>
    </row>
    <row r="14" spans="2:23" x14ac:dyDescent="0.25">
      <c r="B14" s="73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74"/>
    </row>
    <row r="15" spans="2:23" x14ac:dyDescent="0.25">
      <c r="B15" s="73"/>
      <c r="C15" s="197" t="s">
        <v>14</v>
      </c>
      <c r="D15" s="200" t="s">
        <v>15</v>
      </c>
      <c r="E15" s="200"/>
      <c r="F15" s="197" t="s">
        <v>16</v>
      </c>
      <c r="G15" s="178" t="s">
        <v>17</v>
      </c>
      <c r="H15" s="182" t="s">
        <v>18</v>
      </c>
      <c r="I15" s="183"/>
      <c r="J15" s="183"/>
      <c r="K15" s="183"/>
      <c r="L15" s="183"/>
      <c r="M15" s="184"/>
      <c r="N15" s="178" t="s">
        <v>19</v>
      </c>
      <c r="O15" s="178" t="s">
        <v>20</v>
      </c>
      <c r="P15" s="185" t="s">
        <v>21</v>
      </c>
      <c r="Q15" s="185" t="s">
        <v>22</v>
      </c>
      <c r="R15" s="185"/>
      <c r="S15" s="185"/>
      <c r="T15" s="185"/>
      <c r="U15" s="185"/>
      <c r="V15" s="182"/>
      <c r="W15" s="74"/>
    </row>
    <row r="16" spans="2:23" ht="18" x14ac:dyDescent="0.25">
      <c r="B16" s="73"/>
      <c r="C16" s="198"/>
      <c r="D16" s="200"/>
      <c r="E16" s="200"/>
      <c r="F16" s="198"/>
      <c r="G16" s="201"/>
      <c r="H16" s="43" t="s">
        <v>23</v>
      </c>
      <c r="I16" s="43" t="s">
        <v>24</v>
      </c>
      <c r="J16" s="43" t="s">
        <v>25</v>
      </c>
      <c r="K16" s="43" t="s">
        <v>26</v>
      </c>
      <c r="L16" s="43" t="s">
        <v>27</v>
      </c>
      <c r="M16" s="43" t="s">
        <v>28</v>
      </c>
      <c r="N16" s="179"/>
      <c r="O16" s="179"/>
      <c r="P16" s="178"/>
      <c r="Q16" s="43" t="s">
        <v>29</v>
      </c>
      <c r="R16" s="43" t="s">
        <v>30</v>
      </c>
      <c r="S16" s="43" t="s">
        <v>31</v>
      </c>
      <c r="T16" s="43" t="s">
        <v>32</v>
      </c>
      <c r="U16" s="43" t="s">
        <v>33</v>
      </c>
      <c r="V16" s="93" t="s">
        <v>34</v>
      </c>
      <c r="W16" s="74"/>
    </row>
    <row r="17" spans="2:23" x14ac:dyDescent="0.25">
      <c r="B17" s="73"/>
      <c r="C17" s="199"/>
      <c r="D17" s="200"/>
      <c r="E17" s="200"/>
      <c r="F17" s="199"/>
      <c r="G17" s="42" t="s">
        <v>35</v>
      </c>
      <c r="H17" s="186" t="s">
        <v>35</v>
      </c>
      <c r="I17" s="187"/>
      <c r="J17" s="187"/>
      <c r="K17" s="187"/>
      <c r="L17" s="188"/>
      <c r="M17" s="44"/>
      <c r="N17" s="45" t="s">
        <v>35</v>
      </c>
      <c r="O17" s="45" t="s">
        <v>35</v>
      </c>
      <c r="P17" s="45" t="s">
        <v>35</v>
      </c>
      <c r="Q17" s="186" t="s">
        <v>36</v>
      </c>
      <c r="R17" s="187"/>
      <c r="S17" s="187"/>
      <c r="T17" s="187"/>
      <c r="U17" s="187"/>
      <c r="V17" s="187"/>
      <c r="W17" s="74"/>
    </row>
    <row r="18" spans="2:23" x14ac:dyDescent="0.25">
      <c r="B18" s="73"/>
      <c r="C18" s="189">
        <v>1</v>
      </c>
      <c r="D18" s="200" t="s">
        <v>37</v>
      </c>
      <c r="E18" s="200"/>
      <c r="F18" s="92" t="s">
        <v>9</v>
      </c>
      <c r="G18" s="39">
        <f>P18/$F$10</f>
        <v>3954.9999999999995</v>
      </c>
      <c r="H18" s="40">
        <f>References!R26*M18</f>
        <v>816.88599999999997</v>
      </c>
      <c r="I18" s="41">
        <f>References!$R$27*M18</f>
        <v>29.174500000000002</v>
      </c>
      <c r="J18" s="41">
        <f>References!$R$28*M18</f>
        <v>29.174500000000002</v>
      </c>
      <c r="K18" s="41">
        <f>References!$R$29*M18</f>
        <v>116.69800000000001</v>
      </c>
      <c r="L18" s="41">
        <f>References!$R$30*M18</f>
        <v>175.047</v>
      </c>
      <c r="M18" s="123">
        <f>(F8*F6)/1000</f>
        <v>1166.98</v>
      </c>
      <c r="N18" s="149"/>
      <c r="O18" s="16">
        <f>(F9*F6)/1000</f>
        <v>184.11</v>
      </c>
      <c r="P18" s="16">
        <f>(F7*F6)/1000</f>
        <v>15028.999999999998</v>
      </c>
      <c r="Q18" s="38"/>
      <c r="R18" s="38"/>
      <c r="S18" s="38"/>
      <c r="T18" s="38"/>
      <c r="U18" s="38"/>
      <c r="V18" s="94"/>
      <c r="W18" s="74"/>
    </row>
    <row r="19" spans="2:23" ht="27.75" customHeight="1" x14ac:dyDescent="0.25">
      <c r="B19" s="73"/>
      <c r="C19" s="190"/>
      <c r="D19" s="195" t="s">
        <v>38</v>
      </c>
      <c r="E19" s="195"/>
      <c r="F19" s="92" t="s">
        <v>39</v>
      </c>
      <c r="G19" s="39">
        <f>P19/$F$10</f>
        <v>3954.9263157894738</v>
      </c>
      <c r="H19" s="38">
        <v>840.89</v>
      </c>
      <c r="I19" s="41">
        <f>References!$R$27*M19</f>
        <v>29.175000000000001</v>
      </c>
      <c r="J19" s="41">
        <f>References!$R$28*M19</f>
        <v>29.175000000000001</v>
      </c>
      <c r="K19" s="41">
        <f>References!$R$29*M19</f>
        <v>116.7</v>
      </c>
      <c r="L19" s="41">
        <f>References!$R$30*M19</f>
        <v>175.04999999999998</v>
      </c>
      <c r="M19" s="38">
        <v>1167</v>
      </c>
      <c r="N19" s="149"/>
      <c r="O19" s="38">
        <v>184.11</v>
      </c>
      <c r="P19" s="38">
        <v>15028.72</v>
      </c>
      <c r="Q19" s="38"/>
      <c r="R19" s="38"/>
      <c r="S19" s="38"/>
      <c r="T19" s="38"/>
      <c r="U19" s="38"/>
      <c r="V19" s="94"/>
      <c r="W19" s="74"/>
    </row>
    <row r="20" spans="2:23" x14ac:dyDescent="0.25">
      <c r="B20" s="73"/>
      <c r="C20" s="189">
        <v>2</v>
      </c>
      <c r="D20" s="195" t="s">
        <v>40</v>
      </c>
      <c r="E20" s="195"/>
      <c r="F20" s="92" t="s">
        <v>41</v>
      </c>
      <c r="G20" s="39">
        <f>P20/$F$10</f>
        <v>314.98684210526318</v>
      </c>
      <c r="H20" s="38">
        <v>45.91</v>
      </c>
      <c r="I20" s="106"/>
      <c r="J20" s="106"/>
      <c r="K20" s="106"/>
      <c r="L20" s="106"/>
      <c r="M20" s="38">
        <v>103.07</v>
      </c>
      <c r="N20" s="149">
        <f>AA85</f>
        <v>205.02</v>
      </c>
      <c r="O20" s="38">
        <f>U106</f>
        <v>24.54</v>
      </c>
      <c r="P20" s="38">
        <v>1196.95</v>
      </c>
      <c r="Q20" s="38"/>
      <c r="R20" s="38"/>
      <c r="S20" s="38"/>
      <c r="T20" s="38"/>
      <c r="U20" s="38"/>
      <c r="V20" s="94"/>
      <c r="W20" s="74"/>
    </row>
    <row r="21" spans="2:23" x14ac:dyDescent="0.25">
      <c r="B21" s="73"/>
      <c r="C21" s="196"/>
      <c r="D21" s="195"/>
      <c r="E21" s="195"/>
      <c r="F21" s="92" t="s">
        <v>42</v>
      </c>
      <c r="G21" s="39"/>
      <c r="H21" s="38"/>
      <c r="I21" s="38"/>
      <c r="J21" s="38"/>
      <c r="K21" s="38"/>
      <c r="L21" s="38"/>
      <c r="M21" s="51">
        <f>AA73</f>
        <v>432</v>
      </c>
      <c r="N21" s="149"/>
      <c r="O21" s="38">
        <f>U107</f>
        <v>174.87000000000003</v>
      </c>
      <c r="P21" s="38"/>
      <c r="Q21" s="38"/>
      <c r="R21" s="38"/>
      <c r="S21" s="38"/>
      <c r="T21" s="38"/>
      <c r="U21" s="38"/>
      <c r="V21" s="94"/>
      <c r="W21" s="74"/>
    </row>
    <row r="22" spans="2:23" x14ac:dyDescent="0.25">
      <c r="B22" s="73"/>
      <c r="C22" s="189">
        <v>3</v>
      </c>
      <c r="D22" s="191" t="s">
        <v>43</v>
      </c>
      <c r="E22" s="192"/>
      <c r="F22" s="92" t="s">
        <v>44</v>
      </c>
      <c r="G22" s="39"/>
      <c r="H22" s="38"/>
      <c r="I22" s="38"/>
      <c r="J22" s="38"/>
      <c r="K22" s="38"/>
      <c r="L22" s="38"/>
      <c r="M22" s="51">
        <v>432</v>
      </c>
      <c r="N22" s="149"/>
      <c r="O22" s="38">
        <f>BA125</f>
        <v>245.00000000000003</v>
      </c>
      <c r="P22" s="38"/>
      <c r="Q22" s="38">
        <v>85</v>
      </c>
      <c r="R22" s="38">
        <v>225</v>
      </c>
      <c r="S22" s="38">
        <v>957.5</v>
      </c>
      <c r="T22" s="38" t="s">
        <v>45</v>
      </c>
      <c r="U22" s="38">
        <v>48.78</v>
      </c>
      <c r="V22" s="94">
        <v>20.079999999999998</v>
      </c>
      <c r="W22" s="74"/>
    </row>
    <row r="23" spans="2:23" x14ac:dyDescent="0.25">
      <c r="B23" s="73"/>
      <c r="C23" s="190"/>
      <c r="D23" s="193"/>
      <c r="E23" s="194"/>
      <c r="F23" s="132" t="s">
        <v>46</v>
      </c>
      <c r="G23" s="124"/>
      <c r="H23" s="38"/>
      <c r="I23" s="38"/>
      <c r="J23" s="38"/>
      <c r="K23" s="38"/>
      <c r="L23" s="38"/>
      <c r="M23" s="51">
        <v>646.04999999999995</v>
      </c>
      <c r="N23" s="149"/>
      <c r="O23" s="125">
        <v>249</v>
      </c>
      <c r="P23" s="38"/>
      <c r="Q23" s="38"/>
      <c r="R23" s="38"/>
      <c r="S23" s="38"/>
      <c r="T23" s="38"/>
      <c r="U23" s="38"/>
      <c r="V23" s="94"/>
      <c r="W23" s="74"/>
    </row>
    <row r="24" spans="2:23" x14ac:dyDescent="0.25">
      <c r="B24" s="73"/>
      <c r="C24" s="135"/>
      <c r="D24" s="136"/>
      <c r="E24" s="136"/>
      <c r="F24" s="137"/>
      <c r="G24" s="180" t="s">
        <v>17</v>
      </c>
      <c r="H24" s="182" t="s">
        <v>18</v>
      </c>
      <c r="I24" s="183"/>
      <c r="J24" s="183"/>
      <c r="K24" s="183"/>
      <c r="L24" s="183"/>
      <c r="M24" s="184"/>
      <c r="N24" s="178" t="s">
        <v>19</v>
      </c>
      <c r="O24" s="178" t="s">
        <v>20</v>
      </c>
      <c r="P24" s="185" t="s">
        <v>21</v>
      </c>
      <c r="Q24" s="185" t="s">
        <v>22</v>
      </c>
      <c r="R24" s="185"/>
      <c r="S24" s="185"/>
      <c r="T24" s="185"/>
      <c r="U24" s="185"/>
      <c r="V24" s="182"/>
      <c r="W24" s="74"/>
    </row>
    <row r="25" spans="2:23" ht="18" x14ac:dyDescent="0.25">
      <c r="B25" s="73"/>
      <c r="C25" s="138"/>
      <c r="D25" s="134"/>
      <c r="E25" s="134"/>
      <c r="F25" s="139"/>
      <c r="G25" s="181"/>
      <c r="H25" s="43" t="s">
        <v>23</v>
      </c>
      <c r="I25" s="43" t="s">
        <v>24</v>
      </c>
      <c r="J25" s="43" t="s">
        <v>25</v>
      </c>
      <c r="K25" s="43" t="s">
        <v>26</v>
      </c>
      <c r="L25" s="43" t="s">
        <v>27</v>
      </c>
      <c r="M25" s="43" t="s">
        <v>28</v>
      </c>
      <c r="N25" s="179"/>
      <c r="O25" s="179"/>
      <c r="P25" s="178"/>
      <c r="Q25" s="43" t="s">
        <v>29</v>
      </c>
      <c r="R25" s="43" t="s">
        <v>30</v>
      </c>
      <c r="S25" s="43" t="s">
        <v>31</v>
      </c>
      <c r="T25" s="43" t="s">
        <v>32</v>
      </c>
      <c r="U25" s="43" t="s">
        <v>33</v>
      </c>
      <c r="V25" s="93" t="s">
        <v>34</v>
      </c>
      <c r="W25" s="74"/>
    </row>
    <row r="26" spans="2:23" x14ac:dyDescent="0.25">
      <c r="B26" s="73"/>
      <c r="C26" s="140"/>
      <c r="D26" s="141"/>
      <c r="E26" s="141"/>
      <c r="F26" s="142"/>
      <c r="G26" s="182" t="s">
        <v>35</v>
      </c>
      <c r="H26" s="183"/>
      <c r="I26" s="183"/>
      <c r="J26" s="183"/>
      <c r="K26" s="183"/>
      <c r="L26" s="183"/>
      <c r="M26" s="184"/>
      <c r="N26" s="45" t="s">
        <v>35</v>
      </c>
      <c r="O26" s="45" t="s">
        <v>35</v>
      </c>
      <c r="P26" s="45" t="s">
        <v>35</v>
      </c>
      <c r="Q26" s="186" t="s">
        <v>36</v>
      </c>
      <c r="R26" s="187"/>
      <c r="S26" s="187"/>
      <c r="T26" s="187"/>
      <c r="U26" s="187"/>
      <c r="V26" s="187"/>
      <c r="W26" s="74"/>
    </row>
    <row r="27" spans="2:23" x14ac:dyDescent="0.25">
      <c r="B27" s="73"/>
      <c r="C27" s="145">
        <v>4</v>
      </c>
      <c r="D27" s="204" t="s">
        <v>47</v>
      </c>
      <c r="E27" s="204"/>
      <c r="F27" s="133" t="s">
        <v>48</v>
      </c>
      <c r="G27" s="39"/>
      <c r="H27" s="38"/>
      <c r="I27" s="38"/>
      <c r="J27" s="38"/>
      <c r="K27" s="38"/>
      <c r="L27" s="38"/>
      <c r="M27" s="38">
        <f>BA123</f>
        <v>679</v>
      </c>
      <c r="N27" s="149"/>
      <c r="O27" s="38">
        <v>245</v>
      </c>
      <c r="P27" s="38"/>
      <c r="Q27" s="38"/>
      <c r="R27" s="38"/>
      <c r="S27" s="38"/>
      <c r="T27" s="38"/>
      <c r="U27" s="38"/>
      <c r="V27" s="94"/>
      <c r="W27" s="74"/>
    </row>
    <row r="28" spans="2:23" x14ac:dyDescent="0.25">
      <c r="B28" s="73"/>
      <c r="C28" s="189">
        <v>5</v>
      </c>
      <c r="D28" s="195" t="s">
        <v>49</v>
      </c>
      <c r="E28" s="146" t="s">
        <v>50</v>
      </c>
      <c r="F28" s="92" t="s">
        <v>51</v>
      </c>
      <c r="G28" s="39"/>
      <c r="H28" s="38"/>
      <c r="I28" s="38"/>
      <c r="J28" s="38"/>
      <c r="K28" s="38"/>
      <c r="L28" s="38"/>
      <c r="M28" s="38"/>
      <c r="N28" s="149"/>
      <c r="O28" s="38"/>
      <c r="P28" s="38"/>
      <c r="Q28" s="38"/>
      <c r="R28" s="38"/>
      <c r="S28" s="38"/>
      <c r="T28" s="38"/>
      <c r="U28" s="38"/>
      <c r="V28" s="94"/>
      <c r="W28" s="74"/>
    </row>
    <row r="29" spans="2:23" x14ac:dyDescent="0.25">
      <c r="B29" s="73"/>
      <c r="C29" s="190"/>
      <c r="D29" s="195"/>
      <c r="E29" s="202" t="s">
        <v>52</v>
      </c>
      <c r="F29" s="92" t="s">
        <v>53</v>
      </c>
      <c r="G29" s="39"/>
      <c r="H29" s="38"/>
      <c r="I29" s="38"/>
      <c r="J29" s="38"/>
      <c r="K29" s="38"/>
      <c r="L29" s="38"/>
      <c r="M29" s="38"/>
      <c r="N29" s="149"/>
      <c r="O29" s="104">
        <f>BN116</f>
        <v>0</v>
      </c>
      <c r="P29" s="38"/>
      <c r="Q29" s="38"/>
      <c r="R29" s="38"/>
      <c r="S29" s="38"/>
      <c r="T29" s="38"/>
      <c r="U29" s="38"/>
      <c r="V29" s="94"/>
      <c r="W29" s="74"/>
    </row>
    <row r="30" spans="2:23" x14ac:dyDescent="0.25">
      <c r="B30" s="73"/>
      <c r="C30" s="196"/>
      <c r="D30" s="195"/>
      <c r="E30" s="202"/>
      <c r="F30" s="173" t="s">
        <v>54</v>
      </c>
      <c r="G30" s="174">
        <f>BJ70*2.7/100</f>
        <v>2.0898000000000003</v>
      </c>
      <c r="H30" s="174"/>
      <c r="I30" s="174"/>
      <c r="J30" s="174"/>
      <c r="K30" s="174"/>
      <c r="L30" s="174"/>
      <c r="M30" s="174"/>
      <c r="N30" s="172"/>
      <c r="O30" s="175">
        <f>BK89</f>
        <v>0</v>
      </c>
      <c r="P30" s="174"/>
      <c r="Q30" s="174">
        <v>2.5</v>
      </c>
      <c r="R30" s="174">
        <v>3.65</v>
      </c>
      <c r="S30" s="174">
        <v>21.4</v>
      </c>
      <c r="T30" s="174" t="s">
        <v>55</v>
      </c>
      <c r="U30" s="174">
        <v>10</v>
      </c>
      <c r="V30" s="176" t="s">
        <v>56</v>
      </c>
      <c r="W30" s="74"/>
    </row>
    <row r="31" spans="2:23" ht="18" x14ac:dyDescent="0.25">
      <c r="B31" s="73"/>
      <c r="C31" s="149">
        <v>6</v>
      </c>
      <c r="D31" s="195" t="s">
        <v>57</v>
      </c>
      <c r="E31" s="195"/>
      <c r="F31" s="116" t="s">
        <v>58</v>
      </c>
      <c r="G31" s="38"/>
      <c r="H31" s="38"/>
      <c r="I31" s="38"/>
      <c r="J31" s="38"/>
      <c r="K31" s="38"/>
      <c r="L31" s="38"/>
      <c r="M31" s="38">
        <v>889</v>
      </c>
      <c r="N31" s="149"/>
      <c r="O31" s="38"/>
      <c r="P31" s="38"/>
      <c r="Q31" s="38">
        <v>90</v>
      </c>
      <c r="R31" s="38">
        <v>251.43</v>
      </c>
      <c r="S31" s="38">
        <v>1072.71</v>
      </c>
      <c r="T31" s="38" t="s">
        <v>59</v>
      </c>
      <c r="U31" s="38">
        <v>62.59</v>
      </c>
      <c r="V31" s="94">
        <v>28.9</v>
      </c>
      <c r="W31" s="74"/>
    </row>
    <row r="32" spans="2:23" x14ac:dyDescent="0.25">
      <c r="B32" s="73"/>
      <c r="C32" s="189">
        <v>7</v>
      </c>
      <c r="D32" s="203" t="s">
        <v>60</v>
      </c>
      <c r="E32" s="203"/>
      <c r="F32" s="92" t="s">
        <v>61</v>
      </c>
      <c r="G32" s="38"/>
      <c r="H32" s="38"/>
      <c r="I32" s="38"/>
      <c r="J32" s="38"/>
      <c r="K32" s="38"/>
      <c r="L32" s="38"/>
      <c r="M32" s="38">
        <f>CI91</f>
        <v>238</v>
      </c>
      <c r="N32" s="149"/>
      <c r="O32" s="38">
        <f>CI93</f>
        <v>15</v>
      </c>
      <c r="P32" s="38"/>
      <c r="Q32" s="38"/>
      <c r="R32" s="38"/>
      <c r="S32" s="38"/>
      <c r="T32" s="38"/>
      <c r="U32" s="38"/>
      <c r="V32" s="94"/>
      <c r="W32" s="74"/>
    </row>
    <row r="33" spans="2:23" x14ac:dyDescent="0.25">
      <c r="B33" s="73"/>
      <c r="C33" s="196"/>
      <c r="D33" s="203"/>
      <c r="E33" s="203"/>
      <c r="F33" s="92" t="s">
        <v>62</v>
      </c>
      <c r="G33" s="38"/>
      <c r="H33" s="38"/>
      <c r="I33" s="38"/>
      <c r="J33" s="38"/>
      <c r="K33" s="38"/>
      <c r="L33" s="38"/>
      <c r="M33" s="38">
        <v>651</v>
      </c>
      <c r="N33" s="149"/>
      <c r="O33" s="38">
        <v>337</v>
      </c>
      <c r="P33" s="38"/>
      <c r="Q33" s="38"/>
      <c r="R33" s="38"/>
      <c r="S33" s="38"/>
      <c r="T33" s="38"/>
      <c r="U33" s="38"/>
      <c r="V33" s="94"/>
      <c r="W33" s="74"/>
    </row>
    <row r="34" spans="2:23" x14ac:dyDescent="0.25">
      <c r="B34" s="73"/>
      <c r="C34" s="149">
        <v>8</v>
      </c>
      <c r="D34" s="195" t="s">
        <v>63</v>
      </c>
      <c r="E34" s="195"/>
      <c r="F34" s="92" t="s">
        <v>64</v>
      </c>
      <c r="G34" s="38"/>
      <c r="H34" s="38"/>
      <c r="I34" s="38"/>
      <c r="J34" s="38"/>
      <c r="K34" s="38"/>
      <c r="L34" s="38"/>
      <c r="M34" s="38">
        <v>651</v>
      </c>
      <c r="N34" s="149"/>
      <c r="O34" s="38">
        <v>337</v>
      </c>
      <c r="P34" s="38"/>
      <c r="Q34" s="38">
        <v>100</v>
      </c>
      <c r="R34" s="38">
        <v>269.70999999999998</v>
      </c>
      <c r="S34" s="38">
        <v>1185.71</v>
      </c>
      <c r="T34" s="38" t="s">
        <v>65</v>
      </c>
      <c r="U34" s="38">
        <v>62.13</v>
      </c>
      <c r="V34" s="94">
        <v>28.67</v>
      </c>
      <c r="W34" s="74"/>
    </row>
    <row r="35" spans="2:23" x14ac:dyDescent="0.25">
      <c r="B35" s="73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74"/>
    </row>
    <row r="36" spans="2:23" x14ac:dyDescent="0.25">
      <c r="B36" s="73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74"/>
    </row>
    <row r="37" spans="2:23" x14ac:dyDescent="0.25">
      <c r="B37" s="73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74"/>
    </row>
    <row r="38" spans="2:23" x14ac:dyDescent="0.25">
      <c r="B38" s="73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74"/>
    </row>
    <row r="39" spans="2:23" x14ac:dyDescent="0.25">
      <c r="B39" s="73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74"/>
    </row>
    <row r="40" spans="2:23" x14ac:dyDescent="0.25">
      <c r="B40" s="73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74"/>
    </row>
    <row r="41" spans="2:23" ht="15.75" thickBot="1" x14ac:dyDescent="0.3">
      <c r="B41" s="77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9"/>
    </row>
    <row r="56" spans="2:104" ht="15.75" thickBot="1" x14ac:dyDescent="0.3"/>
    <row r="57" spans="2:104" x14ac:dyDescent="0.25">
      <c r="B57" s="70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1"/>
      <c r="AS57" s="71"/>
      <c r="AT57" s="71"/>
      <c r="AU57" s="71"/>
      <c r="AV57" s="71"/>
      <c r="AW57" s="71"/>
      <c r="AX57" s="71"/>
      <c r="AY57" s="71"/>
      <c r="AZ57" s="71"/>
      <c r="BA57" s="71"/>
      <c r="BB57" s="71"/>
      <c r="BC57" s="71"/>
      <c r="BD57" s="71"/>
      <c r="BE57" s="71"/>
      <c r="BF57" s="71"/>
      <c r="BG57" s="71"/>
      <c r="BH57" s="71"/>
      <c r="BI57" s="71"/>
      <c r="BJ57" s="71"/>
      <c r="BK57" s="71"/>
      <c r="BL57" s="71"/>
      <c r="BM57" s="71"/>
      <c r="BN57" s="71"/>
      <c r="BO57" s="71"/>
      <c r="BP57" s="71"/>
      <c r="BQ57" s="71"/>
      <c r="BR57" s="71"/>
      <c r="BS57" s="71"/>
      <c r="BT57" s="71"/>
      <c r="BU57" s="71"/>
      <c r="BV57" s="71"/>
      <c r="BW57" s="71"/>
      <c r="BX57" s="71"/>
      <c r="BY57" s="71"/>
      <c r="BZ57" s="71"/>
      <c r="CA57" s="71"/>
      <c r="CB57" s="71"/>
      <c r="CC57" s="71"/>
      <c r="CD57" s="71"/>
      <c r="CE57" s="71"/>
      <c r="CF57" s="71"/>
      <c r="CG57" s="71"/>
      <c r="CH57" s="71"/>
      <c r="CI57" s="71"/>
      <c r="CJ57" s="71"/>
      <c r="CK57" s="71"/>
      <c r="CL57" s="71"/>
      <c r="CM57" s="71"/>
      <c r="CN57" s="71"/>
      <c r="CO57" s="71"/>
      <c r="CP57" s="71"/>
      <c r="CQ57" s="71"/>
      <c r="CR57" s="71"/>
      <c r="CS57" s="71"/>
      <c r="CT57" s="71"/>
      <c r="CU57" s="71"/>
      <c r="CV57" s="71"/>
      <c r="CW57" s="71"/>
      <c r="CX57" s="71"/>
      <c r="CY57" s="71"/>
      <c r="CZ57" s="72"/>
    </row>
    <row r="58" spans="2:104" ht="21" x14ac:dyDescent="0.35">
      <c r="B58" s="73"/>
      <c r="C58" s="88" t="s">
        <v>66</v>
      </c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74"/>
    </row>
    <row r="59" spans="2:104" x14ac:dyDescent="0.25">
      <c r="B59" s="73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  <c r="CZ59" s="74"/>
    </row>
    <row r="60" spans="2:104" ht="21" x14ac:dyDescent="0.35">
      <c r="B60" s="73"/>
      <c r="C60" s="20"/>
      <c r="D60" s="80" t="s">
        <v>67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74"/>
    </row>
    <row r="61" spans="2:104" x14ac:dyDescent="0.25">
      <c r="B61" s="73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>
        <f>(Q73*1590)/1000</f>
        <v>15.222183000000001</v>
      </c>
      <c r="O61" s="20"/>
      <c r="P61" s="24">
        <f>N61*365</f>
        <v>5556.0967950000004</v>
      </c>
      <c r="Q61" s="20" t="s">
        <v>68</v>
      </c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  <c r="CT61" s="20"/>
      <c r="CU61" s="20"/>
      <c r="CV61" s="20"/>
      <c r="CW61" s="20"/>
      <c r="CX61" s="20"/>
      <c r="CY61" s="20"/>
      <c r="CZ61" s="74"/>
    </row>
    <row r="62" spans="2:104" x14ac:dyDescent="0.25">
      <c r="B62" s="73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74"/>
    </row>
    <row r="63" spans="2:104" x14ac:dyDescent="0.25">
      <c r="B63" s="73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74"/>
    </row>
    <row r="64" spans="2:104" x14ac:dyDescent="0.25">
      <c r="B64" s="73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74"/>
    </row>
    <row r="65" spans="2:104" x14ac:dyDescent="0.25">
      <c r="B65" s="73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74"/>
    </row>
    <row r="66" spans="2:104" ht="21" x14ac:dyDescent="0.35">
      <c r="B66" s="73"/>
      <c r="C66" s="20"/>
      <c r="D66" s="20"/>
      <c r="E66" s="81" t="s">
        <v>69</v>
      </c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81" t="s">
        <v>70</v>
      </c>
      <c r="Q66" s="20"/>
      <c r="R66" s="20"/>
      <c r="S66" s="20"/>
      <c r="T66" s="20"/>
      <c r="U66" s="20"/>
      <c r="V66" s="20"/>
      <c r="W66" s="20"/>
      <c r="X66" s="20"/>
      <c r="Y66" s="20"/>
      <c r="AC66" s="20"/>
      <c r="AD66" s="20"/>
      <c r="AE66" s="20"/>
      <c r="AF66" s="20"/>
      <c r="AG66" s="20"/>
      <c r="AH66" s="20"/>
      <c r="AI66" s="81" t="s">
        <v>71</v>
      </c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81" t="s">
        <v>72</v>
      </c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81" t="s">
        <v>73</v>
      </c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81" t="s">
        <v>74</v>
      </c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81" t="s">
        <v>75</v>
      </c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81" t="s">
        <v>76</v>
      </c>
      <c r="CS66" s="20"/>
      <c r="CT66" s="20"/>
      <c r="CU66" s="20"/>
      <c r="CV66" s="20"/>
      <c r="CW66" s="20"/>
      <c r="CX66" s="20"/>
      <c r="CY66" s="20"/>
      <c r="CZ66" s="74"/>
    </row>
    <row r="67" spans="2:104" x14ac:dyDescent="0.25">
      <c r="B67" s="73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74"/>
    </row>
    <row r="68" spans="2:104" x14ac:dyDescent="0.25">
      <c r="B68" s="73"/>
      <c r="C68" s="20"/>
      <c r="D68" s="20"/>
      <c r="E68" s="182" t="s">
        <v>77</v>
      </c>
      <c r="F68" s="183"/>
      <c r="G68" s="184"/>
      <c r="H68" s="182" t="s">
        <v>78</v>
      </c>
      <c r="I68" s="183"/>
      <c r="J68" s="184"/>
      <c r="K68" s="20"/>
      <c r="L68" s="20"/>
      <c r="M68" s="20"/>
      <c r="N68" s="20"/>
      <c r="O68" s="20"/>
      <c r="P68" s="182" t="s">
        <v>77</v>
      </c>
      <c r="Q68" s="183"/>
      <c r="R68" s="184"/>
      <c r="S68" s="182" t="s">
        <v>78</v>
      </c>
      <c r="T68" s="183"/>
      <c r="U68" s="184"/>
      <c r="V68" s="20"/>
      <c r="W68" s="20"/>
      <c r="X68" s="20"/>
      <c r="Y68" s="20"/>
      <c r="AC68" s="20"/>
      <c r="AD68" s="20"/>
      <c r="AE68" s="20"/>
      <c r="AF68" s="20"/>
      <c r="AG68" s="20"/>
      <c r="AH68" s="20"/>
      <c r="AI68" s="253" t="s">
        <v>77</v>
      </c>
      <c r="AJ68" s="254"/>
      <c r="AK68" s="255"/>
      <c r="AL68" s="253" t="s">
        <v>78</v>
      </c>
      <c r="AM68" s="254"/>
      <c r="AN68" s="255"/>
      <c r="AO68" s="20"/>
      <c r="AP68" s="20"/>
      <c r="AQ68" s="20"/>
      <c r="AR68" s="20"/>
      <c r="AS68" s="20"/>
      <c r="AT68" s="20"/>
      <c r="AU68" s="253" t="s">
        <v>77</v>
      </c>
      <c r="AV68" s="254"/>
      <c r="AW68" s="255"/>
      <c r="AX68" s="253" t="s">
        <v>78</v>
      </c>
      <c r="AY68" s="254"/>
      <c r="AZ68" s="255"/>
      <c r="BA68" s="20"/>
      <c r="BB68" s="20"/>
      <c r="BC68" s="20"/>
      <c r="BD68" s="20"/>
      <c r="BE68" s="20"/>
      <c r="BF68" s="253" t="s">
        <v>77</v>
      </c>
      <c r="BG68" s="254"/>
      <c r="BH68" s="255"/>
      <c r="BI68" s="253" t="s">
        <v>78</v>
      </c>
      <c r="BJ68" s="254"/>
      <c r="BK68" s="255"/>
      <c r="BL68" s="20"/>
      <c r="BM68" s="20"/>
      <c r="BN68" s="20"/>
      <c r="BO68" s="20"/>
      <c r="BP68" s="20"/>
      <c r="BQ68" s="20"/>
      <c r="BR68" s="253" t="s">
        <v>77</v>
      </c>
      <c r="BS68" s="254"/>
      <c r="BT68" s="255"/>
      <c r="BU68" s="253" t="s">
        <v>78</v>
      </c>
      <c r="BV68" s="254"/>
      <c r="BW68" s="255"/>
      <c r="BX68" s="20"/>
      <c r="BY68" s="20"/>
      <c r="BZ68" s="20"/>
      <c r="CA68" s="20"/>
      <c r="CB68" s="20"/>
      <c r="CC68" s="20"/>
      <c r="CD68" s="20"/>
      <c r="CE68" s="253" t="s">
        <v>77</v>
      </c>
      <c r="CF68" s="254"/>
      <c r="CG68" s="255"/>
      <c r="CH68" s="253" t="s">
        <v>78</v>
      </c>
      <c r="CI68" s="254"/>
      <c r="CJ68" s="255"/>
      <c r="CK68" s="20"/>
      <c r="CL68" s="20"/>
      <c r="CM68" s="20"/>
      <c r="CN68" s="20"/>
      <c r="CO68" s="20"/>
      <c r="CP68" s="20"/>
      <c r="CQ68" s="253" t="s">
        <v>77</v>
      </c>
      <c r="CR68" s="254"/>
      <c r="CS68" s="255"/>
      <c r="CT68" s="253" t="s">
        <v>78</v>
      </c>
      <c r="CU68" s="254"/>
      <c r="CV68" s="255"/>
      <c r="CW68" s="20"/>
      <c r="CX68" s="20"/>
      <c r="CY68" s="20"/>
      <c r="CZ68" s="74"/>
    </row>
    <row r="69" spans="2:104" ht="21" x14ac:dyDescent="0.35">
      <c r="B69" s="73"/>
      <c r="C69" s="20"/>
      <c r="D69" s="20"/>
      <c r="E69" s="21"/>
      <c r="F69" s="46" t="s">
        <v>79</v>
      </c>
      <c r="G69" s="46" t="s">
        <v>80</v>
      </c>
      <c r="H69" s="147"/>
      <c r="I69" s="46" t="s">
        <v>79</v>
      </c>
      <c r="J69" s="42" t="s">
        <v>80</v>
      </c>
      <c r="K69" s="20"/>
      <c r="L69" s="20"/>
      <c r="M69" s="20"/>
      <c r="N69" s="20"/>
      <c r="O69" s="20"/>
      <c r="P69" s="21"/>
      <c r="Q69" s="46" t="s">
        <v>79</v>
      </c>
      <c r="R69" s="46" t="s">
        <v>80</v>
      </c>
      <c r="S69" s="42"/>
      <c r="T69" s="46" t="s">
        <v>79</v>
      </c>
      <c r="U69" s="42" t="s">
        <v>80</v>
      </c>
      <c r="V69" s="20"/>
      <c r="W69" s="20"/>
      <c r="X69" s="20"/>
      <c r="Y69" s="20"/>
      <c r="Z69" s="81" t="s">
        <v>81</v>
      </c>
      <c r="AA69" s="20"/>
      <c r="AB69" s="20"/>
      <c r="AC69" s="20"/>
      <c r="AD69" s="20"/>
      <c r="AE69" s="20"/>
      <c r="AF69" s="20"/>
      <c r="AG69" s="20"/>
      <c r="AH69" s="20"/>
      <c r="AI69" s="21"/>
      <c r="AJ69" s="21" t="s">
        <v>79</v>
      </c>
      <c r="AK69" s="21" t="s">
        <v>80</v>
      </c>
      <c r="AL69" s="147"/>
      <c r="AM69" s="21" t="s">
        <v>79</v>
      </c>
      <c r="AN69" s="147" t="s">
        <v>80</v>
      </c>
      <c r="AO69" s="20"/>
      <c r="AP69" s="20"/>
      <c r="AQ69" s="20"/>
      <c r="AR69" s="20"/>
      <c r="AS69" s="20"/>
      <c r="AT69" s="20"/>
      <c r="AU69" s="21"/>
      <c r="AV69" s="21" t="s">
        <v>79</v>
      </c>
      <c r="AW69" s="21" t="s">
        <v>80</v>
      </c>
      <c r="AX69" s="147"/>
      <c r="AY69" s="21" t="s">
        <v>79</v>
      </c>
      <c r="AZ69" s="147" t="s">
        <v>80</v>
      </c>
      <c r="BA69" s="20"/>
      <c r="BB69" s="20"/>
      <c r="BC69" s="20"/>
      <c r="BD69" s="20"/>
      <c r="BE69" s="20"/>
      <c r="BF69" s="21"/>
      <c r="BG69" s="21" t="s">
        <v>79</v>
      </c>
      <c r="BH69" s="21" t="s">
        <v>80</v>
      </c>
      <c r="BI69" s="147"/>
      <c r="BJ69" s="21" t="s">
        <v>79</v>
      </c>
      <c r="BK69" s="147" t="s">
        <v>80</v>
      </c>
      <c r="BL69" s="20"/>
      <c r="BM69" s="20"/>
      <c r="BN69" s="20"/>
      <c r="BO69" s="20"/>
      <c r="BP69" s="20"/>
      <c r="BQ69" s="20"/>
      <c r="BR69" s="21"/>
      <c r="BS69" s="21" t="s">
        <v>79</v>
      </c>
      <c r="BT69" s="21" t="s">
        <v>80</v>
      </c>
      <c r="BU69" s="147"/>
      <c r="BV69" s="21" t="s">
        <v>79</v>
      </c>
      <c r="BW69" s="147" t="s">
        <v>80</v>
      </c>
      <c r="BX69" s="20"/>
      <c r="BY69" s="20"/>
      <c r="BZ69" s="20"/>
      <c r="CA69" s="20"/>
      <c r="CB69" s="20"/>
      <c r="CC69" s="20"/>
      <c r="CD69" s="20"/>
      <c r="CE69" s="21"/>
      <c r="CF69" s="21" t="s">
        <v>79</v>
      </c>
      <c r="CG69" s="21" t="s">
        <v>80</v>
      </c>
      <c r="CH69" s="147"/>
      <c r="CI69" s="21" t="s">
        <v>79</v>
      </c>
      <c r="CJ69" s="147" t="s">
        <v>80</v>
      </c>
      <c r="CK69" s="20"/>
      <c r="CL69" s="20"/>
      <c r="CM69" s="20"/>
      <c r="CN69" s="20"/>
      <c r="CO69" s="20"/>
      <c r="CP69" s="20"/>
      <c r="CQ69" s="21"/>
      <c r="CR69" s="21" t="s">
        <v>79</v>
      </c>
      <c r="CS69" s="21" t="s">
        <v>80</v>
      </c>
      <c r="CT69" s="147"/>
      <c r="CU69" s="21" t="s">
        <v>79</v>
      </c>
      <c r="CV69" s="147" t="s">
        <v>80</v>
      </c>
      <c r="CW69" s="20"/>
      <c r="CX69" s="20"/>
      <c r="CY69" s="20"/>
      <c r="CZ69" s="74"/>
    </row>
    <row r="70" spans="2:104" x14ac:dyDescent="0.25">
      <c r="B70" s="73"/>
      <c r="C70" s="20"/>
      <c r="D70" s="20"/>
      <c r="E70" s="49" t="s">
        <v>82</v>
      </c>
      <c r="F70" s="50"/>
      <c r="G70" s="49"/>
      <c r="H70" s="38" t="s">
        <v>83</v>
      </c>
      <c r="I70" s="51">
        <v>550.54999999999995</v>
      </c>
      <c r="J70" s="38" t="s">
        <v>84</v>
      </c>
      <c r="K70" s="20"/>
      <c r="L70" s="20"/>
      <c r="M70" s="20"/>
      <c r="N70" s="20"/>
      <c r="O70" s="20"/>
      <c r="P70" s="49" t="s">
        <v>82</v>
      </c>
      <c r="Q70" s="50">
        <v>15455</v>
      </c>
      <c r="R70" s="49" t="s">
        <v>85</v>
      </c>
      <c r="S70" s="38"/>
      <c r="T70" s="51"/>
      <c r="U70" s="38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1" t="s">
        <v>82</v>
      </c>
      <c r="AJ70" s="50"/>
      <c r="AK70" s="49"/>
      <c r="AL70" s="38"/>
      <c r="AM70" s="51"/>
      <c r="AN70" s="38"/>
      <c r="AO70" s="20"/>
      <c r="AP70" s="20"/>
      <c r="AQ70" s="20"/>
      <c r="AR70" s="20"/>
      <c r="AS70" s="20"/>
      <c r="AT70" s="20"/>
      <c r="AU70" s="21" t="s">
        <v>82</v>
      </c>
      <c r="AV70" s="50"/>
      <c r="AW70" s="49"/>
      <c r="AX70" s="24" t="s">
        <v>86</v>
      </c>
      <c r="AY70" s="51">
        <f>667121/365</f>
        <v>1827.7287671232878</v>
      </c>
      <c r="AZ70" s="38" t="s">
        <v>87</v>
      </c>
      <c r="BA70" s="20"/>
      <c r="BB70" s="20"/>
      <c r="BC70" s="20"/>
      <c r="BD70" s="20"/>
      <c r="BE70" s="20"/>
      <c r="BF70" s="21" t="s">
        <v>88</v>
      </c>
      <c r="BG70" s="50">
        <v>807</v>
      </c>
      <c r="BH70" s="49" t="s">
        <v>84</v>
      </c>
      <c r="BI70" s="24" t="s">
        <v>54</v>
      </c>
      <c r="BJ70" s="103">
        <v>77.400000000000006</v>
      </c>
      <c r="BK70" s="38" t="s">
        <v>84</v>
      </c>
      <c r="BL70" s="20"/>
      <c r="BM70" s="20"/>
      <c r="BN70" s="20"/>
      <c r="BO70" s="20"/>
      <c r="BP70" s="20"/>
      <c r="BQ70" s="20"/>
      <c r="BR70" s="49"/>
      <c r="BS70" s="50"/>
      <c r="BT70" s="49"/>
      <c r="BU70" s="82"/>
      <c r="BV70" s="51"/>
      <c r="BW70" s="38"/>
      <c r="BX70" s="20"/>
      <c r="BY70" s="20"/>
      <c r="BZ70" s="20"/>
      <c r="CA70" s="20"/>
      <c r="CB70" s="20"/>
      <c r="CC70" s="20"/>
      <c r="CD70" s="20"/>
      <c r="CE70" s="49" t="s">
        <v>82</v>
      </c>
      <c r="CF70" s="50">
        <v>3098</v>
      </c>
      <c r="CG70" s="49" t="s">
        <v>85</v>
      </c>
      <c r="CH70" s="82"/>
      <c r="CI70" s="51"/>
      <c r="CJ70" s="38"/>
      <c r="CK70" s="20"/>
      <c r="CL70" s="20"/>
      <c r="CM70" s="20"/>
      <c r="CN70" s="20"/>
      <c r="CO70" s="20"/>
      <c r="CP70" s="20"/>
      <c r="CQ70" s="21" t="s">
        <v>82</v>
      </c>
      <c r="CR70" s="50"/>
      <c r="CS70" s="49"/>
      <c r="CT70" s="82"/>
      <c r="CU70" s="51"/>
      <c r="CV70" s="38"/>
      <c r="CW70" s="20"/>
      <c r="CX70" s="20"/>
      <c r="CY70" s="20"/>
      <c r="CZ70" s="74"/>
    </row>
    <row r="71" spans="2:104" x14ac:dyDescent="0.25">
      <c r="B71" s="73"/>
      <c r="C71" s="20"/>
      <c r="D71" s="20"/>
      <c r="E71" s="49" t="s">
        <v>89</v>
      </c>
      <c r="F71" s="49">
        <v>0</v>
      </c>
      <c r="G71" s="49"/>
      <c r="H71" s="38" t="s">
        <v>90</v>
      </c>
      <c r="I71" s="51">
        <v>1904.99</v>
      </c>
      <c r="J71" s="38" t="s">
        <v>84</v>
      </c>
      <c r="K71" s="20"/>
      <c r="L71" s="20"/>
      <c r="M71" s="20"/>
      <c r="N71" s="20"/>
      <c r="O71" s="20"/>
      <c r="P71" s="49" t="s">
        <v>61</v>
      </c>
      <c r="Q71" s="49">
        <v>443</v>
      </c>
      <c r="R71" s="49" t="s">
        <v>87</v>
      </c>
      <c r="S71" s="38"/>
      <c r="T71" s="51"/>
      <c r="U71" s="38"/>
      <c r="V71" s="20"/>
      <c r="W71" s="20"/>
      <c r="X71" s="20"/>
      <c r="Y71" s="20"/>
      <c r="Z71" s="157" t="s">
        <v>78</v>
      </c>
      <c r="AA71" s="54" t="s">
        <v>79</v>
      </c>
      <c r="AB71" s="157" t="s">
        <v>80</v>
      </c>
      <c r="AC71" s="20"/>
      <c r="AD71" s="20"/>
      <c r="AE71" s="20"/>
      <c r="AF71" s="20"/>
      <c r="AG71" s="20"/>
      <c r="AH71" s="20"/>
      <c r="AI71" s="23" t="s">
        <v>91</v>
      </c>
      <c r="AJ71" s="49">
        <v>45.7</v>
      </c>
      <c r="AK71" s="49" t="s">
        <v>84</v>
      </c>
      <c r="AL71" s="38"/>
      <c r="AM71" s="51"/>
      <c r="AN71" s="38"/>
      <c r="AO71" s="20"/>
      <c r="AP71" s="20"/>
      <c r="AQ71" s="20"/>
      <c r="AR71" s="20"/>
      <c r="AS71" s="20"/>
      <c r="AT71" s="20"/>
      <c r="AU71" s="23" t="s">
        <v>92</v>
      </c>
      <c r="AV71" s="49"/>
      <c r="AW71" s="49"/>
      <c r="AX71" s="147" t="s">
        <v>48</v>
      </c>
      <c r="AY71" s="51">
        <f>AZ83</f>
        <v>9.4527397260273975</v>
      </c>
      <c r="AZ71" s="38" t="s">
        <v>93</v>
      </c>
      <c r="BA71" s="20"/>
      <c r="BB71" s="20"/>
      <c r="BC71" s="20"/>
      <c r="BD71" s="20"/>
      <c r="BE71" s="20"/>
      <c r="BF71" s="23" t="s">
        <v>94</v>
      </c>
      <c r="BG71" s="49">
        <v>0</v>
      </c>
      <c r="BH71" s="49" t="s">
        <v>84</v>
      </c>
      <c r="BI71" s="159" t="s">
        <v>95</v>
      </c>
      <c r="BJ71" s="104">
        <v>9.2899999999999991</v>
      </c>
      <c r="BK71" s="38" t="s">
        <v>84</v>
      </c>
      <c r="BL71" s="20"/>
      <c r="BM71" s="20"/>
      <c r="BN71" s="20"/>
      <c r="BO71" s="20"/>
      <c r="BP71" s="20"/>
      <c r="BQ71" s="20"/>
      <c r="BR71" s="49"/>
      <c r="BS71" s="49"/>
      <c r="BT71" s="49"/>
      <c r="BU71" s="159"/>
      <c r="BV71" s="51"/>
      <c r="BW71" s="38"/>
      <c r="BX71" s="20"/>
      <c r="BY71" s="20"/>
      <c r="BZ71" s="20"/>
      <c r="CA71" s="20"/>
      <c r="CB71" s="20"/>
      <c r="CC71" s="20"/>
      <c r="CD71" s="20"/>
      <c r="CE71" s="49" t="s">
        <v>96</v>
      </c>
      <c r="CF71" s="49">
        <v>411.7</v>
      </c>
      <c r="CG71" s="49" t="s">
        <v>84</v>
      </c>
      <c r="CH71" s="159"/>
      <c r="CI71" s="51"/>
      <c r="CJ71" s="38"/>
      <c r="CK71" s="20"/>
      <c r="CL71" s="20"/>
      <c r="CM71" s="20"/>
      <c r="CN71" s="20"/>
      <c r="CO71" s="20"/>
      <c r="CP71" s="20"/>
      <c r="CQ71" s="23" t="s">
        <v>92</v>
      </c>
      <c r="CR71" s="49"/>
      <c r="CS71" s="49"/>
      <c r="CT71" s="159"/>
      <c r="CU71" s="51"/>
      <c r="CV71" s="38"/>
      <c r="CW71" s="20"/>
      <c r="CX71" s="20"/>
      <c r="CY71" s="20"/>
      <c r="CZ71" s="74"/>
    </row>
    <row r="72" spans="2:104" x14ac:dyDescent="0.25">
      <c r="B72" s="73"/>
      <c r="C72" s="20"/>
      <c r="D72" s="20"/>
      <c r="E72" s="49" t="s">
        <v>97</v>
      </c>
      <c r="F72" s="49">
        <v>0</v>
      </c>
      <c r="G72" s="49"/>
      <c r="H72" s="38" t="s">
        <v>98</v>
      </c>
      <c r="I72" s="51">
        <v>9.89</v>
      </c>
      <c r="J72" s="38" t="s">
        <v>84</v>
      </c>
      <c r="K72" s="20"/>
      <c r="L72" s="20"/>
      <c r="M72" s="20"/>
      <c r="N72" s="20"/>
      <c r="O72" s="20"/>
      <c r="P72" s="49" t="s">
        <v>99</v>
      </c>
      <c r="Q72" s="49">
        <v>10930</v>
      </c>
      <c r="R72" s="49" t="s">
        <v>87</v>
      </c>
      <c r="S72" s="38"/>
      <c r="T72" s="51"/>
      <c r="U72" s="38"/>
      <c r="V72" s="20"/>
      <c r="W72" s="20"/>
      <c r="X72" s="20"/>
      <c r="Y72" s="20"/>
      <c r="Z72" s="22" t="s">
        <v>21</v>
      </c>
      <c r="AA72" s="83">
        <f>F10*U83</f>
        <v>0</v>
      </c>
      <c r="AB72" s="147" t="s">
        <v>12</v>
      </c>
      <c r="AC72" s="20"/>
      <c r="AD72" s="20"/>
      <c r="AE72" s="20"/>
      <c r="AF72" s="20"/>
      <c r="AG72" s="20"/>
      <c r="AH72" s="20"/>
      <c r="AI72" s="23"/>
      <c r="AJ72" s="49"/>
      <c r="AK72" s="49"/>
      <c r="AL72" s="38"/>
      <c r="AM72" s="51"/>
      <c r="AN72" s="38"/>
      <c r="AO72" s="20"/>
      <c r="AP72" s="20"/>
      <c r="AQ72" s="20"/>
      <c r="AR72" s="20"/>
      <c r="AS72" s="20"/>
      <c r="AT72" s="20"/>
      <c r="AU72" s="23" t="s">
        <v>46</v>
      </c>
      <c r="AV72" s="98">
        <f>800.4/365</f>
        <v>2.1928767123287671</v>
      </c>
      <c r="AW72" s="21" t="s">
        <v>100</v>
      </c>
      <c r="AX72" s="22" t="s">
        <v>101</v>
      </c>
      <c r="AY72" s="51">
        <f>1098812.5/365</f>
        <v>3010.4452054794519</v>
      </c>
      <c r="AZ72" s="38" t="s">
        <v>85</v>
      </c>
      <c r="BA72" s="20"/>
      <c r="BB72" s="20"/>
      <c r="BC72" s="20"/>
      <c r="BD72" s="20"/>
      <c r="BE72" s="20"/>
      <c r="BF72" s="23" t="s">
        <v>82</v>
      </c>
      <c r="BG72" s="49">
        <v>144</v>
      </c>
      <c r="BH72" s="49" t="s">
        <v>85</v>
      </c>
      <c r="BI72" s="38" t="s">
        <v>102</v>
      </c>
      <c r="BJ72" s="51">
        <f>(5.4/100)*77.4</f>
        <v>4.1796000000000006</v>
      </c>
      <c r="BK72" s="38" t="s">
        <v>84</v>
      </c>
      <c r="BL72" s="20"/>
      <c r="BM72" s="20"/>
      <c r="BN72" s="20"/>
      <c r="BO72" s="20"/>
      <c r="BP72" s="20"/>
      <c r="BQ72" s="20"/>
      <c r="BR72" s="49"/>
      <c r="BS72" s="49"/>
      <c r="BT72" s="49"/>
      <c r="BU72" s="38"/>
      <c r="BV72" s="51"/>
      <c r="BW72" s="38"/>
      <c r="BX72" s="20"/>
      <c r="BY72" s="20"/>
      <c r="BZ72" s="20"/>
      <c r="CA72" s="20"/>
      <c r="CB72" s="20"/>
      <c r="CC72" s="20"/>
      <c r="CD72" s="20"/>
      <c r="CE72" s="49"/>
      <c r="CF72" s="49"/>
      <c r="CG72" s="49"/>
      <c r="CH72" s="38"/>
      <c r="CI72" s="51"/>
      <c r="CJ72" s="38"/>
      <c r="CK72" s="20"/>
      <c r="CL72" s="20"/>
      <c r="CM72" s="20"/>
      <c r="CN72" s="20"/>
      <c r="CO72" s="20"/>
      <c r="CP72" s="20"/>
      <c r="CQ72" s="49" t="s">
        <v>103</v>
      </c>
      <c r="CR72" s="49">
        <v>6396.3</v>
      </c>
      <c r="CS72" s="49" t="s">
        <v>93</v>
      </c>
      <c r="CT72" s="95"/>
      <c r="CU72" s="51"/>
      <c r="CV72" s="38"/>
      <c r="CW72" s="20"/>
      <c r="CX72" s="20"/>
      <c r="CY72" s="20"/>
      <c r="CZ72" s="74"/>
    </row>
    <row r="73" spans="2:104" ht="18" customHeight="1" x14ac:dyDescent="0.25">
      <c r="B73" s="73"/>
      <c r="C73" s="20"/>
      <c r="D73" s="20"/>
      <c r="E73" s="49" t="s">
        <v>104</v>
      </c>
      <c r="F73" s="159">
        <v>0</v>
      </c>
      <c r="G73" s="159"/>
      <c r="H73" s="159"/>
      <c r="I73" s="52"/>
      <c r="J73" s="159"/>
      <c r="K73" s="20"/>
      <c r="L73" s="20"/>
      <c r="M73" s="20"/>
      <c r="N73" s="20"/>
      <c r="O73" s="20"/>
      <c r="P73" s="49" t="s">
        <v>105</v>
      </c>
      <c r="Q73" s="96">
        <f>9573.7/1000</f>
        <v>9.5737000000000005</v>
      </c>
      <c r="R73" s="159" t="s">
        <v>87</v>
      </c>
      <c r="S73" s="159"/>
      <c r="T73" s="52"/>
      <c r="U73" s="159"/>
      <c r="V73" s="20"/>
      <c r="W73" s="20"/>
      <c r="X73" s="20"/>
      <c r="Y73" s="20"/>
      <c r="Z73" s="147" t="s">
        <v>106</v>
      </c>
      <c r="AA73" s="83">
        <f>U96</f>
        <v>432</v>
      </c>
      <c r="AB73" s="147" t="s">
        <v>12</v>
      </c>
      <c r="AC73" s="20"/>
      <c r="AD73" s="20"/>
      <c r="AE73" s="20"/>
      <c r="AF73" s="20"/>
      <c r="AG73" s="20"/>
      <c r="AH73" s="20"/>
      <c r="AI73" s="23"/>
      <c r="AJ73" s="159"/>
      <c r="AK73" s="159"/>
      <c r="AL73" s="159"/>
      <c r="AM73" s="52"/>
      <c r="AN73" s="159"/>
      <c r="AO73" s="20"/>
      <c r="AP73" s="20"/>
      <c r="AQ73" s="20"/>
      <c r="AR73" s="20"/>
      <c r="AS73" s="20"/>
      <c r="AT73" s="20"/>
      <c r="AU73" s="23" t="s">
        <v>107</v>
      </c>
      <c r="AV73" s="159">
        <v>5.0999999999999996</v>
      </c>
      <c r="AW73" s="147" t="s">
        <v>108</v>
      </c>
      <c r="AX73" s="22" t="s">
        <v>92</v>
      </c>
      <c r="AY73" s="100">
        <f>8577781.4/365</f>
        <v>23500.770958904111</v>
      </c>
      <c r="AZ73" s="159" t="s">
        <v>109</v>
      </c>
      <c r="BA73" s="20"/>
      <c r="BB73" s="20"/>
      <c r="BC73" s="20"/>
      <c r="BD73" s="20"/>
      <c r="BE73" s="20"/>
      <c r="BF73" s="49"/>
      <c r="BG73" s="159"/>
      <c r="BH73" s="159"/>
      <c r="BI73" s="38"/>
      <c r="BJ73" s="52"/>
      <c r="BK73" s="159"/>
      <c r="BL73" s="20"/>
      <c r="BM73" s="20"/>
      <c r="BN73" s="20"/>
      <c r="BO73" s="20"/>
      <c r="BP73" s="20"/>
      <c r="BQ73" s="20"/>
      <c r="BR73" s="49"/>
      <c r="BS73" s="159"/>
      <c r="BT73" s="159"/>
      <c r="BU73" s="38"/>
      <c r="BV73" s="52"/>
      <c r="BW73" s="159"/>
      <c r="BX73" s="20"/>
      <c r="BY73" s="20"/>
      <c r="BZ73" s="20"/>
      <c r="CA73" s="20"/>
      <c r="CB73" s="20"/>
      <c r="CC73" s="20"/>
      <c r="CD73" s="20"/>
      <c r="CE73" s="49"/>
      <c r="CF73" s="159"/>
      <c r="CG73" s="159"/>
      <c r="CH73" s="38"/>
      <c r="CI73" s="52"/>
      <c r="CJ73" s="159"/>
      <c r="CK73" s="20"/>
      <c r="CL73" s="20"/>
      <c r="CM73" s="20"/>
      <c r="CN73" s="20"/>
      <c r="CO73" s="20"/>
      <c r="CP73" s="20"/>
      <c r="CQ73" s="49" t="s">
        <v>103</v>
      </c>
      <c r="CR73" s="159">
        <v>29</v>
      </c>
      <c r="CS73" s="159" t="s">
        <v>110</v>
      </c>
      <c r="CT73" s="38"/>
      <c r="CU73" s="52"/>
      <c r="CV73" s="159"/>
      <c r="CW73" s="20"/>
      <c r="CX73" s="20"/>
      <c r="CY73" s="20"/>
      <c r="CZ73" s="74"/>
    </row>
    <row r="74" spans="2:104" ht="18" customHeight="1" x14ac:dyDescent="0.25">
      <c r="B74" s="73"/>
      <c r="C74" s="20"/>
      <c r="D74" s="20"/>
      <c r="E74" s="159"/>
      <c r="F74" s="159"/>
      <c r="G74" s="159"/>
      <c r="H74" s="159"/>
      <c r="I74" s="52"/>
      <c r="J74" s="159"/>
      <c r="K74" s="20"/>
      <c r="L74" s="20"/>
      <c r="M74" s="20"/>
      <c r="N74" s="20"/>
      <c r="O74" s="20"/>
      <c r="P74" s="159"/>
      <c r="Q74" s="159">
        <f>(Q73*1590)/1000</f>
        <v>15.222183000000001</v>
      </c>
      <c r="R74" s="159" t="s">
        <v>111</v>
      </c>
      <c r="S74" s="159"/>
      <c r="T74" s="52"/>
      <c r="U74" s="159"/>
      <c r="V74" s="20"/>
      <c r="W74" s="20"/>
      <c r="X74" s="20"/>
      <c r="Y74" s="20"/>
      <c r="Z74" s="147" t="s">
        <v>112</v>
      </c>
      <c r="AA74" s="83">
        <f>U107</f>
        <v>174.87000000000003</v>
      </c>
      <c r="AB74" s="147" t="s">
        <v>12</v>
      </c>
      <c r="AC74" s="20"/>
      <c r="AD74" s="20"/>
      <c r="AE74" s="20"/>
      <c r="AF74" s="20"/>
      <c r="AG74" s="20"/>
      <c r="AH74" s="20"/>
      <c r="AI74" s="147"/>
      <c r="AJ74" s="159"/>
      <c r="AK74" s="159"/>
      <c r="AL74" s="159"/>
      <c r="AM74" s="52"/>
      <c r="AN74" s="159"/>
      <c r="AO74" s="20"/>
      <c r="AP74" s="20"/>
      <c r="AQ74" s="20"/>
      <c r="AR74" s="20"/>
      <c r="AS74" s="20"/>
      <c r="AT74" s="20"/>
      <c r="AU74" s="159"/>
      <c r="AV74" s="159"/>
      <c r="AW74" s="159"/>
      <c r="AX74" s="159"/>
      <c r="AY74" s="52"/>
      <c r="AZ74" s="159"/>
      <c r="BA74" s="20"/>
      <c r="BB74" s="20"/>
      <c r="BC74" s="20"/>
      <c r="BD74" s="20"/>
      <c r="BE74" s="20"/>
      <c r="BF74" s="159"/>
      <c r="BG74" s="159"/>
      <c r="BH74" s="159"/>
      <c r="BI74" s="159"/>
      <c r="BJ74" s="52"/>
      <c r="BK74" s="159"/>
      <c r="BL74" s="20"/>
      <c r="BM74" s="20"/>
      <c r="BN74" s="20"/>
      <c r="BO74" s="20"/>
      <c r="BP74" s="20"/>
      <c r="BQ74" s="20"/>
      <c r="BR74" s="159"/>
      <c r="BS74" s="159"/>
      <c r="BT74" s="159"/>
      <c r="BU74" s="159"/>
      <c r="BV74" s="52"/>
      <c r="BW74" s="159"/>
      <c r="BX74" s="20"/>
      <c r="BY74" s="20"/>
      <c r="BZ74" s="20"/>
      <c r="CA74" s="20"/>
      <c r="CB74" s="20"/>
      <c r="CC74" s="20"/>
      <c r="CD74" s="20"/>
      <c r="CE74" s="159"/>
      <c r="CF74" s="159"/>
      <c r="CG74" s="159"/>
      <c r="CH74" s="159"/>
      <c r="CI74" s="52"/>
      <c r="CJ74" s="159"/>
      <c r="CK74" s="20"/>
      <c r="CL74" s="20"/>
      <c r="CM74" s="20"/>
      <c r="CN74" s="20"/>
      <c r="CO74" s="20"/>
      <c r="CP74" s="20"/>
      <c r="CQ74" s="159"/>
      <c r="CR74" s="159"/>
      <c r="CS74" s="159"/>
      <c r="CT74" s="159"/>
      <c r="CU74" s="52"/>
      <c r="CV74" s="159"/>
      <c r="CW74" s="20"/>
      <c r="CX74" s="20"/>
      <c r="CY74" s="20"/>
      <c r="CZ74" s="74"/>
    </row>
    <row r="75" spans="2:104" x14ac:dyDescent="0.25">
      <c r="B75" s="73"/>
      <c r="C75" s="20"/>
      <c r="D75" s="20"/>
      <c r="E75" s="159"/>
      <c r="F75" s="159"/>
      <c r="G75" s="159"/>
      <c r="H75" s="159"/>
      <c r="I75" s="52"/>
      <c r="J75" s="159"/>
      <c r="K75" s="20"/>
      <c r="L75" s="20"/>
      <c r="M75" s="20"/>
      <c r="N75" s="20"/>
      <c r="O75" s="20"/>
      <c r="P75" s="159"/>
      <c r="Q75" s="159"/>
      <c r="R75" s="159"/>
      <c r="S75" s="159"/>
      <c r="T75" s="52"/>
      <c r="U75" s="159"/>
      <c r="V75" s="20"/>
      <c r="W75" s="20"/>
      <c r="X75" s="20"/>
      <c r="Y75" s="20"/>
      <c r="AC75" s="20"/>
      <c r="AD75" s="20"/>
      <c r="AE75" s="20"/>
      <c r="AF75" s="20"/>
      <c r="AG75" s="20"/>
      <c r="AH75" s="20"/>
      <c r="AI75" s="147"/>
      <c r="AJ75" s="159"/>
      <c r="AK75" s="159"/>
      <c r="AL75" s="159"/>
      <c r="AM75" s="52"/>
      <c r="AN75" s="159"/>
      <c r="AO75" s="20"/>
      <c r="AP75" s="20"/>
      <c r="AQ75" s="20"/>
      <c r="AR75" s="20"/>
      <c r="AS75" s="20"/>
      <c r="AT75" s="20"/>
      <c r="AU75" s="159"/>
      <c r="AV75" s="159"/>
      <c r="AW75" s="159"/>
      <c r="AX75" s="159"/>
      <c r="AY75" s="52"/>
      <c r="AZ75" s="159"/>
      <c r="BA75" s="20"/>
      <c r="BB75" s="20"/>
      <c r="BC75" s="20"/>
      <c r="BD75" s="20"/>
      <c r="BE75" s="20"/>
      <c r="BF75" s="159"/>
      <c r="BG75" s="159"/>
      <c r="BH75" s="159"/>
      <c r="BI75" s="159"/>
      <c r="BJ75" s="52"/>
      <c r="BK75" s="159"/>
      <c r="BL75" s="20"/>
      <c r="BM75" s="20"/>
      <c r="BN75" s="20"/>
      <c r="BO75" s="20"/>
      <c r="BP75" s="20"/>
      <c r="BQ75" s="20"/>
      <c r="BR75" s="159"/>
      <c r="BS75" s="159"/>
      <c r="BT75" s="159"/>
      <c r="BU75" s="159"/>
      <c r="BV75" s="52"/>
      <c r="BW75" s="159"/>
      <c r="BX75" s="20"/>
      <c r="BY75" s="20"/>
      <c r="BZ75" s="20"/>
      <c r="CA75" s="20"/>
      <c r="CB75" s="20"/>
      <c r="CC75" s="20"/>
      <c r="CD75" s="20"/>
      <c r="CE75" s="159"/>
      <c r="CF75" s="159"/>
      <c r="CG75" s="159"/>
      <c r="CH75" s="159"/>
      <c r="CI75" s="52"/>
      <c r="CJ75" s="159"/>
      <c r="CK75" s="20"/>
      <c r="CL75" s="20"/>
      <c r="CM75" s="20"/>
      <c r="CN75" s="20"/>
      <c r="CO75" s="20"/>
      <c r="CP75" s="20"/>
      <c r="CQ75" s="159"/>
      <c r="CR75" s="159"/>
      <c r="CS75" s="159"/>
      <c r="CT75" s="159"/>
      <c r="CU75" s="52"/>
      <c r="CV75" s="159"/>
      <c r="CW75" s="20"/>
      <c r="CX75" s="20"/>
      <c r="CY75" s="20"/>
      <c r="CZ75" s="74"/>
    </row>
    <row r="76" spans="2:104" x14ac:dyDescent="0.25">
      <c r="B76" s="73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160"/>
      <c r="AA76" s="20"/>
      <c r="AB76" s="20"/>
      <c r="AC76" s="29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53"/>
      <c r="AV76" s="53"/>
      <c r="AW76" s="53"/>
      <c r="AX76" s="53"/>
      <c r="AY76" s="53"/>
      <c r="AZ76" s="53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74"/>
    </row>
    <row r="77" spans="2:104" ht="18" customHeight="1" x14ac:dyDescent="0.25">
      <c r="B77" s="73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53"/>
      <c r="AV77" s="53"/>
      <c r="AW77" s="53"/>
      <c r="AX77" s="53"/>
      <c r="AY77" s="53"/>
      <c r="AZ77" s="53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74"/>
    </row>
    <row r="78" spans="2:104" ht="21" x14ac:dyDescent="0.35">
      <c r="B78" s="73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81" t="s">
        <v>113</v>
      </c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 t="s">
        <v>114</v>
      </c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 t="s">
        <v>114</v>
      </c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 t="s">
        <v>114</v>
      </c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 t="s">
        <v>114</v>
      </c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 t="s">
        <v>114</v>
      </c>
      <c r="CS78" s="20"/>
      <c r="CT78" s="20"/>
      <c r="CU78" s="20"/>
      <c r="CV78" s="20"/>
      <c r="CW78" s="20"/>
      <c r="CX78" s="20"/>
      <c r="CY78" s="20"/>
      <c r="CZ78" s="74"/>
    </row>
    <row r="79" spans="2:104" ht="21" x14ac:dyDescent="0.35">
      <c r="B79" s="73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81" t="s">
        <v>115</v>
      </c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 t="s">
        <v>114</v>
      </c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74"/>
    </row>
    <row r="80" spans="2:104" x14ac:dyDescent="0.25">
      <c r="B80" s="73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74"/>
    </row>
    <row r="81" spans="2:104" x14ac:dyDescent="0.25">
      <c r="B81" s="73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182" t="s">
        <v>77</v>
      </c>
      <c r="Q81" s="183"/>
      <c r="R81" s="184"/>
      <c r="S81" s="185" t="s">
        <v>78</v>
      </c>
      <c r="T81" s="185"/>
      <c r="U81" s="185"/>
      <c r="V81" s="185"/>
      <c r="W81" s="20"/>
      <c r="X81" s="20"/>
      <c r="Y81" s="20"/>
      <c r="Z81" s="157" t="s">
        <v>78</v>
      </c>
      <c r="AA81" s="54" t="s">
        <v>79</v>
      </c>
      <c r="AB81" s="157" t="s">
        <v>80</v>
      </c>
      <c r="AC81" s="20"/>
      <c r="AD81" s="20"/>
      <c r="AE81" s="20"/>
      <c r="AF81" s="20"/>
      <c r="AG81" s="20"/>
      <c r="AH81" s="20"/>
      <c r="AI81" s="253" t="s">
        <v>77</v>
      </c>
      <c r="AJ81" s="254"/>
      <c r="AK81" s="255"/>
      <c r="AL81" s="260" t="s">
        <v>78</v>
      </c>
      <c r="AM81" s="260"/>
      <c r="AN81" s="260"/>
      <c r="AO81" s="260"/>
      <c r="AP81" s="20"/>
      <c r="AQ81" s="20"/>
      <c r="AR81" s="20"/>
      <c r="AS81" s="20"/>
      <c r="AT81" s="20"/>
      <c r="AU81" s="251"/>
      <c r="AV81" s="256" t="s">
        <v>77</v>
      </c>
      <c r="AW81" s="257"/>
      <c r="AX81" s="258"/>
      <c r="AY81" s="259" t="s">
        <v>78</v>
      </c>
      <c r="AZ81" s="259"/>
      <c r="BA81" s="259"/>
      <c r="BB81" s="20"/>
      <c r="BC81" s="20"/>
      <c r="BD81" s="20"/>
      <c r="BE81" s="20"/>
      <c r="BF81" s="251"/>
      <c r="BG81" s="253" t="s">
        <v>77</v>
      </c>
      <c r="BH81" s="254"/>
      <c r="BI81" s="255"/>
      <c r="BJ81" s="260" t="s">
        <v>78</v>
      </c>
      <c r="BK81" s="260"/>
      <c r="BL81" s="260"/>
      <c r="BM81" s="20"/>
      <c r="BN81" s="20"/>
      <c r="BO81" s="20"/>
      <c r="BP81" s="20"/>
      <c r="BQ81" s="20"/>
      <c r="BR81" s="251"/>
      <c r="BS81" s="253" t="s">
        <v>77</v>
      </c>
      <c r="BT81" s="254"/>
      <c r="BU81" s="255"/>
      <c r="BV81" s="253" t="s">
        <v>78</v>
      </c>
      <c r="BW81" s="254"/>
      <c r="BX81" s="255"/>
      <c r="BY81" s="24"/>
      <c r="BZ81" s="24"/>
      <c r="CA81" s="24"/>
      <c r="CB81" s="20"/>
      <c r="CC81" s="20"/>
      <c r="CD81" s="20"/>
      <c r="CE81" s="260" t="s">
        <v>77</v>
      </c>
      <c r="CF81" s="260"/>
      <c r="CG81" s="260"/>
      <c r="CH81" s="260" t="s">
        <v>78</v>
      </c>
      <c r="CI81" s="260"/>
      <c r="CJ81" s="260"/>
      <c r="CK81" s="20"/>
      <c r="CL81" s="20"/>
      <c r="CM81" s="20"/>
      <c r="CN81" s="20"/>
      <c r="CO81" s="20"/>
      <c r="CP81" s="20"/>
      <c r="CQ81" s="260" t="s">
        <v>77</v>
      </c>
      <c r="CR81" s="260"/>
      <c r="CS81" s="260"/>
      <c r="CT81" s="260" t="s">
        <v>78</v>
      </c>
      <c r="CU81" s="260"/>
      <c r="CV81" s="260"/>
      <c r="CW81" s="20"/>
      <c r="CX81" s="20"/>
      <c r="CY81" s="20"/>
      <c r="CZ81" s="74"/>
    </row>
    <row r="82" spans="2:104" x14ac:dyDescent="0.25">
      <c r="B82" s="73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1"/>
      <c r="Q82" s="46" t="s">
        <v>79</v>
      </c>
      <c r="R82" s="46" t="s">
        <v>80</v>
      </c>
      <c r="S82" s="147"/>
      <c r="T82" s="146" t="s">
        <v>108</v>
      </c>
      <c r="U82" s="46" t="s">
        <v>79</v>
      </c>
      <c r="V82" s="42" t="s">
        <v>80</v>
      </c>
      <c r="W82" s="20"/>
      <c r="X82" s="20"/>
      <c r="Y82" s="20"/>
      <c r="Z82" s="22" t="s">
        <v>21</v>
      </c>
      <c r="AA82" s="83">
        <f>F10*U86</f>
        <v>1196.95</v>
      </c>
      <c r="AB82" s="147" t="s">
        <v>12</v>
      </c>
      <c r="AC82" s="20"/>
      <c r="AD82" s="20"/>
      <c r="AE82" s="20"/>
      <c r="AF82" s="20"/>
      <c r="AG82" s="20"/>
      <c r="AH82" s="20"/>
      <c r="AI82" s="21"/>
      <c r="AJ82" s="21" t="s">
        <v>79</v>
      </c>
      <c r="AK82" s="21" t="s">
        <v>80</v>
      </c>
      <c r="AL82" s="147"/>
      <c r="AM82" s="147" t="s">
        <v>108</v>
      </c>
      <c r="AN82" s="149" t="s">
        <v>79</v>
      </c>
      <c r="AO82" s="21" t="s">
        <v>80</v>
      </c>
      <c r="AP82" s="20"/>
      <c r="AQ82" s="20"/>
      <c r="AR82" s="20"/>
      <c r="AS82" s="20"/>
      <c r="AT82" s="20"/>
      <c r="AU82" s="252"/>
      <c r="AV82" s="21"/>
      <c r="AW82" s="21" t="s">
        <v>79</v>
      </c>
      <c r="AX82" s="21" t="s">
        <v>80</v>
      </c>
      <c r="AY82" s="147"/>
      <c r="AZ82" s="149" t="s">
        <v>79</v>
      </c>
      <c r="BA82" s="21" t="s">
        <v>80</v>
      </c>
      <c r="BB82" s="37"/>
      <c r="BC82" s="37"/>
      <c r="BD82" s="20"/>
      <c r="BE82" s="20"/>
      <c r="BF82" s="252"/>
      <c r="BG82" s="21"/>
      <c r="BH82" s="21" t="s">
        <v>79</v>
      </c>
      <c r="BI82" s="21" t="s">
        <v>80</v>
      </c>
      <c r="BJ82" s="147"/>
      <c r="BK82" s="149" t="s">
        <v>79</v>
      </c>
      <c r="BL82" s="21" t="s">
        <v>80</v>
      </c>
      <c r="BM82" s="20"/>
      <c r="BN82" s="20"/>
      <c r="BO82" s="20"/>
      <c r="BP82" s="20"/>
      <c r="BQ82" s="20"/>
      <c r="BR82" s="252"/>
      <c r="BS82" s="21"/>
      <c r="BT82" s="21" t="s">
        <v>79</v>
      </c>
      <c r="BU82" s="21" t="s">
        <v>80</v>
      </c>
      <c r="BV82" s="147"/>
      <c r="BW82" s="149" t="s">
        <v>79</v>
      </c>
      <c r="BX82" s="21" t="s">
        <v>80</v>
      </c>
      <c r="BY82" s="37"/>
      <c r="BZ82" s="37"/>
      <c r="CA82" s="37"/>
      <c r="CB82" s="20"/>
      <c r="CC82" s="20"/>
      <c r="CD82" s="20"/>
      <c r="CE82" s="27"/>
      <c r="CF82" s="36" t="s">
        <v>79</v>
      </c>
      <c r="CG82" s="36" t="s">
        <v>80</v>
      </c>
      <c r="CH82" s="20"/>
      <c r="CI82" s="149" t="s">
        <v>79</v>
      </c>
      <c r="CJ82" s="21" t="s">
        <v>80</v>
      </c>
      <c r="CK82" s="20"/>
      <c r="CL82" s="20"/>
      <c r="CM82" s="20"/>
      <c r="CN82" s="20"/>
      <c r="CO82" s="20"/>
      <c r="CP82" s="20"/>
      <c r="CQ82" s="27"/>
      <c r="CR82" s="36" t="s">
        <v>79</v>
      </c>
      <c r="CS82" s="36" t="s">
        <v>80</v>
      </c>
      <c r="CT82" s="20"/>
      <c r="CU82" s="149" t="s">
        <v>79</v>
      </c>
      <c r="CV82" s="21" t="s">
        <v>80</v>
      </c>
      <c r="CW82" s="20"/>
      <c r="CX82" s="20"/>
      <c r="CY82" s="20"/>
      <c r="CZ82" s="74"/>
    </row>
    <row r="83" spans="2:104" ht="52.5" customHeight="1" x14ac:dyDescent="0.25">
      <c r="B83" s="73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9" t="s">
        <v>116</v>
      </c>
      <c r="Q83" s="212">
        <f>G18</f>
        <v>3954.9999999999995</v>
      </c>
      <c r="R83" s="209" t="s">
        <v>12</v>
      </c>
      <c r="S83" s="218" t="s">
        <v>117</v>
      </c>
      <c r="T83" s="215"/>
      <c r="U83" s="228">
        <f>T83*$Q$88</f>
        <v>0</v>
      </c>
      <c r="V83" s="218" t="s">
        <v>12</v>
      </c>
      <c r="W83" s="20"/>
      <c r="X83" s="20"/>
      <c r="Y83" s="20"/>
      <c r="Z83" s="147" t="s">
        <v>106</v>
      </c>
      <c r="AA83" s="83">
        <f>U90+U94</f>
        <v>86.259999999999991</v>
      </c>
      <c r="AB83" s="147" t="s">
        <v>12</v>
      </c>
      <c r="AC83" s="20"/>
      <c r="AD83" s="20"/>
      <c r="AE83" s="20"/>
      <c r="AF83" s="20"/>
      <c r="AG83" s="20"/>
      <c r="AH83" s="20"/>
      <c r="AI83" s="217" t="s">
        <v>42</v>
      </c>
      <c r="AJ83" s="263"/>
      <c r="AK83" s="217" t="s">
        <v>100</v>
      </c>
      <c r="AL83" s="26" t="s">
        <v>118</v>
      </c>
      <c r="AM83" s="53"/>
      <c r="AN83" s="99">
        <f>3779.5/365</f>
        <v>10.354794520547944</v>
      </c>
      <c r="AO83" s="149" t="s">
        <v>119</v>
      </c>
      <c r="AP83" s="20"/>
      <c r="AQ83" s="20"/>
      <c r="AR83" s="20"/>
      <c r="AS83" s="20"/>
      <c r="AT83" s="20"/>
      <c r="AU83" s="217" t="s">
        <v>42</v>
      </c>
      <c r="AV83" s="33" t="s">
        <v>120</v>
      </c>
      <c r="AW83" s="39">
        <f>AN83</f>
        <v>10.354794520547944</v>
      </c>
      <c r="AX83" s="189" t="s">
        <v>100</v>
      </c>
      <c r="AY83" s="149" t="s">
        <v>48</v>
      </c>
      <c r="AZ83" s="102">
        <f>3450.25/365</f>
        <v>9.4527397260273975</v>
      </c>
      <c r="BA83" s="149" t="s">
        <v>119</v>
      </c>
      <c r="BB83" s="24"/>
      <c r="BC83" s="24"/>
      <c r="BD83" s="20"/>
      <c r="BE83" s="20"/>
      <c r="BF83" s="217" t="s">
        <v>48</v>
      </c>
      <c r="BG83" s="33" t="s">
        <v>120</v>
      </c>
      <c r="BH83" s="121">
        <f>AZ83</f>
        <v>9.4527397260273975</v>
      </c>
      <c r="BI83" s="189" t="s">
        <v>119</v>
      </c>
      <c r="BJ83" s="149" t="s">
        <v>48</v>
      </c>
      <c r="BK83" s="121">
        <f>9.45-17.29/365</f>
        <v>9.4026301369862999</v>
      </c>
      <c r="BL83" s="147" t="s">
        <v>100</v>
      </c>
      <c r="BM83" s="20"/>
      <c r="BN83" s="20"/>
      <c r="BO83" s="20"/>
      <c r="BP83" s="20"/>
      <c r="BQ83" s="20"/>
      <c r="BR83" s="217" t="s">
        <v>48</v>
      </c>
      <c r="BS83" s="33" t="s">
        <v>53</v>
      </c>
      <c r="BT83" s="96">
        <f>BK83</f>
        <v>9.4026301369862999</v>
      </c>
      <c r="BU83" s="189" t="s">
        <v>100</v>
      </c>
      <c r="BV83" s="33" t="s">
        <v>121</v>
      </c>
      <c r="BW83" s="102">
        <f>BT83+BT84</f>
        <v>15.367561643835614</v>
      </c>
      <c r="BX83" s="147" t="s">
        <v>100</v>
      </c>
      <c r="BY83" s="24"/>
      <c r="BZ83" s="24"/>
      <c r="CA83" s="24"/>
      <c r="CB83" s="20"/>
      <c r="CC83" s="20"/>
      <c r="CD83" s="20"/>
      <c r="CE83" s="33" t="s">
        <v>122</v>
      </c>
      <c r="CF83" s="159">
        <v>15.37</v>
      </c>
      <c r="CG83" s="149" t="s">
        <v>100</v>
      </c>
      <c r="CH83" s="149" t="s">
        <v>123</v>
      </c>
      <c r="CI83" s="159"/>
      <c r="CJ83" s="147" t="s">
        <v>100</v>
      </c>
      <c r="CK83" s="20"/>
      <c r="CL83" s="20"/>
      <c r="CM83" s="20"/>
      <c r="CN83" s="20"/>
      <c r="CO83" s="20"/>
      <c r="CP83" s="20"/>
      <c r="CQ83" s="149" t="s">
        <v>62</v>
      </c>
      <c r="CR83" s="159"/>
      <c r="CS83" s="149" t="s">
        <v>100</v>
      </c>
      <c r="CT83" s="149" t="s">
        <v>64</v>
      </c>
      <c r="CU83" s="159"/>
      <c r="CV83" s="147" t="s">
        <v>100</v>
      </c>
      <c r="CW83" s="20"/>
      <c r="CX83" s="20"/>
      <c r="CY83" s="20"/>
      <c r="CZ83" s="74"/>
    </row>
    <row r="84" spans="2:104" ht="80.25" customHeight="1" x14ac:dyDescent="0.25">
      <c r="B84" s="73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10"/>
      <c r="Q84" s="213"/>
      <c r="R84" s="210"/>
      <c r="S84" s="219"/>
      <c r="T84" s="216"/>
      <c r="U84" s="230"/>
      <c r="V84" s="220"/>
      <c r="W84" s="20"/>
      <c r="X84" s="20"/>
      <c r="Y84" s="20"/>
      <c r="Z84" s="147" t="s">
        <v>124</v>
      </c>
      <c r="AA84" s="83">
        <f>U94</f>
        <v>40.349999999999994</v>
      </c>
      <c r="AB84" s="147" t="s">
        <v>12</v>
      </c>
      <c r="AC84" s="20"/>
      <c r="AD84" s="20"/>
      <c r="AE84" s="20"/>
      <c r="AF84" s="20"/>
      <c r="AG84" s="20"/>
      <c r="AH84" s="20"/>
      <c r="AI84" s="217"/>
      <c r="AJ84" s="264"/>
      <c r="AK84" s="217"/>
      <c r="AL84" s="149" t="s">
        <v>125</v>
      </c>
      <c r="AM84" s="53"/>
      <c r="AN84" s="159">
        <v>6.69</v>
      </c>
      <c r="AO84" s="33" t="s">
        <v>108</v>
      </c>
      <c r="AP84" s="20"/>
      <c r="AQ84" s="20"/>
      <c r="AR84" s="20"/>
      <c r="AS84" s="20"/>
      <c r="AT84" s="20"/>
      <c r="AU84" s="217"/>
      <c r="AV84" s="33" t="s">
        <v>126</v>
      </c>
      <c r="AW84" s="99">
        <f>AV72</f>
        <v>2.1928767123287671</v>
      </c>
      <c r="AX84" s="196"/>
      <c r="AY84" s="149" t="s">
        <v>125</v>
      </c>
      <c r="AZ84" s="96">
        <f>3450.25/72156.5*100</f>
        <v>4.7816205054291707</v>
      </c>
      <c r="BA84" s="149" t="s">
        <v>108</v>
      </c>
      <c r="BB84" s="160"/>
      <c r="BC84" s="160"/>
      <c r="BD84" s="20"/>
      <c r="BE84" s="20"/>
      <c r="BF84" s="217"/>
      <c r="BG84" s="33" t="s">
        <v>126</v>
      </c>
      <c r="BH84" s="49">
        <v>0</v>
      </c>
      <c r="BI84" s="196"/>
      <c r="BJ84" s="149" t="s">
        <v>125</v>
      </c>
      <c r="BK84" s="49"/>
      <c r="BL84" s="149" t="s">
        <v>108</v>
      </c>
      <c r="BM84" s="20"/>
      <c r="BN84" s="20"/>
      <c r="BO84" s="20"/>
      <c r="BP84" s="20"/>
      <c r="BQ84" s="20"/>
      <c r="BR84" s="217"/>
      <c r="BS84" s="87" t="s">
        <v>126</v>
      </c>
      <c r="BT84" s="102">
        <f>2177.2/365</f>
        <v>5.9649315068493145</v>
      </c>
      <c r="BU84" s="196"/>
      <c r="BV84" s="149" t="s">
        <v>125</v>
      </c>
      <c r="BW84" s="159"/>
      <c r="BX84" s="149" t="s">
        <v>108</v>
      </c>
      <c r="BY84" s="160"/>
      <c r="BZ84" s="160"/>
      <c r="CA84" s="160"/>
      <c r="CB84" s="20"/>
      <c r="CC84" s="20"/>
      <c r="CD84" s="20"/>
      <c r="CE84" s="149" t="s">
        <v>125</v>
      </c>
      <c r="CF84" s="158">
        <f>CF72</f>
        <v>0</v>
      </c>
      <c r="CG84" s="149" t="s">
        <v>108</v>
      </c>
      <c r="CH84" s="149" t="s">
        <v>125</v>
      </c>
      <c r="CI84" s="159">
        <v>30.5</v>
      </c>
      <c r="CJ84" s="149" t="s">
        <v>108</v>
      </c>
      <c r="CK84" s="20"/>
      <c r="CL84" s="20"/>
      <c r="CM84" s="20"/>
      <c r="CN84" s="20"/>
      <c r="CO84" s="20"/>
      <c r="CP84" s="20"/>
      <c r="CQ84" s="149" t="s">
        <v>125</v>
      </c>
      <c r="CR84" s="34"/>
      <c r="CS84" s="143" t="s">
        <v>108</v>
      </c>
      <c r="CT84" s="143" t="s">
        <v>125</v>
      </c>
      <c r="CU84" s="158">
        <v>94.025000000000006</v>
      </c>
      <c r="CV84" s="35" t="s">
        <v>108</v>
      </c>
      <c r="CW84" s="20"/>
      <c r="CX84" s="20"/>
      <c r="CY84" s="20"/>
      <c r="CZ84" s="74"/>
    </row>
    <row r="85" spans="2:104" ht="31.5" x14ac:dyDescent="0.35">
      <c r="B85" s="73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11"/>
      <c r="Q85" s="214"/>
      <c r="R85" s="211"/>
      <c r="S85" s="28" t="s">
        <v>127</v>
      </c>
      <c r="T85" s="48"/>
      <c r="U85" s="55">
        <f>T85*Q88</f>
        <v>0</v>
      </c>
      <c r="V85" s="220"/>
      <c r="W85" s="20"/>
      <c r="X85" s="20"/>
      <c r="Y85" s="20"/>
      <c r="Z85" s="147" t="s">
        <v>128</v>
      </c>
      <c r="AA85" s="52">
        <v>205.02</v>
      </c>
      <c r="AB85" s="147" t="s">
        <v>12</v>
      </c>
      <c r="AC85" s="20"/>
      <c r="AD85" s="20"/>
      <c r="AE85" s="20"/>
      <c r="AF85" s="20"/>
      <c r="AG85" s="20"/>
      <c r="AH85" s="20"/>
      <c r="AI85" s="189" t="s">
        <v>125</v>
      </c>
      <c r="AJ85" s="249"/>
      <c r="AK85" s="189" t="s">
        <v>108</v>
      </c>
      <c r="AL85" s="167" t="s">
        <v>129</v>
      </c>
      <c r="AM85" s="118"/>
      <c r="AN85" s="119">
        <f>AM85*AJ85</f>
        <v>0</v>
      </c>
      <c r="AO85" s="149" t="s">
        <v>100</v>
      </c>
      <c r="AP85" s="20"/>
      <c r="AQ85" s="20"/>
      <c r="AR85" s="20"/>
      <c r="AS85" s="20"/>
      <c r="AT85" s="20"/>
      <c r="AU85" s="189" t="s">
        <v>116</v>
      </c>
      <c r="AV85" s="33" t="s">
        <v>120</v>
      </c>
      <c r="AW85" s="58">
        <f>AN88</f>
        <v>381.01190476190482</v>
      </c>
      <c r="AX85" s="189" t="s">
        <v>130</v>
      </c>
      <c r="AY85" s="189" t="s">
        <v>116</v>
      </c>
      <c r="AZ85" s="159"/>
      <c r="BA85" s="149" t="s">
        <v>130</v>
      </c>
      <c r="BB85" s="160"/>
      <c r="BC85" s="160"/>
      <c r="BD85" s="20"/>
      <c r="BE85" s="20"/>
      <c r="BF85" s="189" t="s">
        <v>116</v>
      </c>
      <c r="BG85" s="33" t="s">
        <v>120</v>
      </c>
      <c r="BH85" s="49"/>
      <c r="BI85" s="189" t="s">
        <v>130</v>
      </c>
      <c r="BJ85" s="189" t="s">
        <v>116</v>
      </c>
      <c r="BK85" s="49"/>
      <c r="BL85" s="149" t="s">
        <v>130</v>
      </c>
      <c r="BM85" s="20"/>
      <c r="BN85" s="20"/>
      <c r="BO85" s="20"/>
      <c r="BP85" s="20"/>
      <c r="BQ85" s="20"/>
      <c r="BR85" s="189" t="s">
        <v>116</v>
      </c>
      <c r="BS85" s="33" t="s">
        <v>53</v>
      </c>
      <c r="BT85" s="158"/>
      <c r="BU85" s="189" t="s">
        <v>130</v>
      </c>
      <c r="BV85" s="189" t="s">
        <v>116</v>
      </c>
      <c r="BW85" s="159"/>
      <c r="BX85" s="149" t="s">
        <v>130</v>
      </c>
      <c r="BY85" s="160"/>
      <c r="BZ85" s="160"/>
      <c r="CA85" s="160"/>
      <c r="CB85" s="20"/>
      <c r="CC85" s="20"/>
      <c r="CD85" s="20"/>
      <c r="CE85" s="20"/>
      <c r="CF85" s="20"/>
      <c r="CG85" s="20"/>
      <c r="CH85" s="147" t="s">
        <v>61</v>
      </c>
      <c r="CI85" s="159">
        <v>443</v>
      </c>
      <c r="CJ85" s="53" t="s">
        <v>87</v>
      </c>
      <c r="CK85" s="20"/>
      <c r="CL85" s="20"/>
      <c r="CM85" s="20"/>
      <c r="CN85" s="20"/>
      <c r="CO85" s="20"/>
      <c r="CP85" s="20"/>
      <c r="CQ85" s="149" t="s">
        <v>116</v>
      </c>
      <c r="CR85" s="159"/>
      <c r="CS85" s="25" t="s">
        <v>100</v>
      </c>
      <c r="CT85" s="149" t="s">
        <v>131</v>
      </c>
      <c r="CU85" s="159">
        <v>496.9</v>
      </c>
      <c r="CV85" s="26" t="s">
        <v>100</v>
      </c>
      <c r="CW85" s="20"/>
      <c r="CX85" s="20"/>
      <c r="CY85" s="20"/>
      <c r="CZ85" s="74"/>
    </row>
    <row r="86" spans="2:104" ht="39" customHeight="1" x14ac:dyDescent="0.35">
      <c r="B86" s="73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167" t="s">
        <v>132</v>
      </c>
      <c r="Q86" s="159"/>
      <c r="R86" s="149" t="s">
        <v>12</v>
      </c>
      <c r="S86" s="218" t="s">
        <v>133</v>
      </c>
      <c r="T86" s="215"/>
      <c r="U86" s="228">
        <f>P20/F10</f>
        <v>314.98684210526318</v>
      </c>
      <c r="V86" s="220"/>
      <c r="W86" s="20"/>
      <c r="X86" s="20"/>
      <c r="Y86" s="20"/>
      <c r="Z86" s="147" t="s">
        <v>134</v>
      </c>
      <c r="AA86" s="52">
        <v>8.7200000000000006</v>
      </c>
      <c r="AB86" s="147" t="s">
        <v>12</v>
      </c>
      <c r="AC86" s="20"/>
      <c r="AD86" s="20"/>
      <c r="AE86" s="20"/>
      <c r="AF86" s="20"/>
      <c r="AG86" s="20"/>
      <c r="AH86" s="20"/>
      <c r="AI86" s="196"/>
      <c r="AJ86" s="250"/>
      <c r="AK86" s="196"/>
      <c r="AL86" s="167" t="s">
        <v>125</v>
      </c>
      <c r="AM86" s="118"/>
      <c r="AN86" s="119"/>
      <c r="AO86" s="149" t="s">
        <v>108</v>
      </c>
      <c r="AP86" s="20"/>
      <c r="AQ86" s="20"/>
      <c r="AR86" s="20"/>
      <c r="AS86" s="20"/>
      <c r="AT86" s="20"/>
      <c r="AU86" s="196"/>
      <c r="AV86" s="33" t="s">
        <v>126</v>
      </c>
      <c r="AW86" s="57"/>
      <c r="AX86" s="196"/>
      <c r="AY86" s="196"/>
      <c r="AZ86" s="159"/>
      <c r="BA86" s="149" t="s">
        <v>130</v>
      </c>
      <c r="BB86" s="160"/>
      <c r="BC86" s="160"/>
      <c r="BD86" s="20"/>
      <c r="BE86" s="20"/>
      <c r="BF86" s="196"/>
      <c r="BG86" s="33" t="s">
        <v>126</v>
      </c>
      <c r="BH86" s="49"/>
      <c r="BI86" s="196"/>
      <c r="BJ86" s="196"/>
      <c r="BK86" s="49"/>
      <c r="BL86" s="149" t="s">
        <v>130</v>
      </c>
      <c r="BM86" s="20"/>
      <c r="BO86" s="20"/>
      <c r="BP86" s="20"/>
      <c r="BQ86" s="20"/>
      <c r="BR86" s="196"/>
      <c r="BS86" s="87" t="s">
        <v>126</v>
      </c>
      <c r="BT86" s="57"/>
      <c r="BU86" s="196"/>
      <c r="BV86" s="196"/>
      <c r="BW86" s="159"/>
      <c r="BX86" s="149" t="s">
        <v>130</v>
      </c>
      <c r="BY86" s="160"/>
      <c r="CB86" s="20"/>
      <c r="CC86" s="20"/>
      <c r="CD86" s="20"/>
      <c r="CE86" s="20"/>
      <c r="CF86" s="20"/>
      <c r="CG86" s="20"/>
      <c r="CH86" s="24"/>
      <c r="CI86" s="20"/>
      <c r="CJ86" s="24"/>
      <c r="CK86" s="20"/>
      <c r="CL86" s="20"/>
      <c r="CM86" s="20"/>
      <c r="CN86" s="20"/>
      <c r="CO86" s="20"/>
      <c r="CP86" s="20"/>
      <c r="CQ86" s="147" t="s">
        <v>106</v>
      </c>
      <c r="CR86" s="159">
        <f>CI90</f>
        <v>651</v>
      </c>
      <c r="CS86" s="25" t="s">
        <v>100</v>
      </c>
      <c r="CT86" s="149" t="s">
        <v>135</v>
      </c>
      <c r="CU86" s="159"/>
      <c r="CV86" s="26" t="s">
        <v>100</v>
      </c>
      <c r="CW86" s="20"/>
      <c r="CX86" s="20"/>
      <c r="CY86" s="20"/>
      <c r="CZ86" s="74"/>
    </row>
    <row r="87" spans="2:104" ht="29.25" customHeight="1" x14ac:dyDescent="0.35">
      <c r="B87" s="73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167" t="s">
        <v>136</v>
      </c>
      <c r="Q87" s="159"/>
      <c r="R87" s="149" t="s">
        <v>12</v>
      </c>
      <c r="S87" s="220"/>
      <c r="T87" s="231"/>
      <c r="U87" s="229"/>
      <c r="V87" s="220"/>
      <c r="W87" s="20"/>
      <c r="X87" s="20"/>
      <c r="Y87" s="20"/>
      <c r="Z87" s="147" t="s">
        <v>137</v>
      </c>
      <c r="AA87" s="84">
        <f>U90</f>
        <v>45.91</v>
      </c>
      <c r="AB87" s="147" t="s">
        <v>12</v>
      </c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189" t="s">
        <v>106</v>
      </c>
      <c r="AV87" s="33" t="s">
        <v>120</v>
      </c>
      <c r="AW87" s="97">
        <f>AN90</f>
        <v>41.719804206905678</v>
      </c>
      <c r="AX87" s="189" t="s">
        <v>130</v>
      </c>
      <c r="AY87" s="189" t="s">
        <v>106</v>
      </c>
      <c r="AZ87" s="96">
        <f>679/AZ83</f>
        <v>71.831026737192957</v>
      </c>
      <c r="BA87" s="149" t="s">
        <v>130</v>
      </c>
      <c r="BD87" s="20"/>
      <c r="BE87" s="20"/>
      <c r="BF87" s="189" t="s">
        <v>106</v>
      </c>
      <c r="BG87" s="33" t="s">
        <v>120</v>
      </c>
      <c r="BH87" s="98">
        <f>AZ87</f>
        <v>71.831026737192957</v>
      </c>
      <c r="BI87" s="189" t="s">
        <v>130</v>
      </c>
      <c r="BJ87" s="189" t="s">
        <v>106</v>
      </c>
      <c r="BK87" s="49"/>
      <c r="BL87" s="149" t="s">
        <v>130</v>
      </c>
      <c r="BM87" s="20"/>
      <c r="BO87" s="20"/>
      <c r="BP87" s="20"/>
      <c r="BQ87" s="20"/>
      <c r="BR87" s="189" t="s">
        <v>106</v>
      </c>
      <c r="BS87" s="33" t="s">
        <v>53</v>
      </c>
      <c r="BT87" s="159">
        <f>674.8/BT83</f>
        <v>71.767153463327091</v>
      </c>
      <c r="BU87" s="189" t="s">
        <v>130</v>
      </c>
      <c r="BV87" s="189" t="s">
        <v>106</v>
      </c>
      <c r="BW87" s="96">
        <f>889/BW83</f>
        <v>57.849125359233831</v>
      </c>
      <c r="BX87" s="149" t="s">
        <v>130</v>
      </c>
      <c r="BY87" s="160"/>
      <c r="CB87" s="20"/>
      <c r="CC87" s="20"/>
      <c r="CD87" s="20"/>
      <c r="CE87" s="20"/>
      <c r="CF87" s="20"/>
      <c r="CG87" s="20"/>
      <c r="CH87" s="24"/>
      <c r="CI87" s="20"/>
      <c r="CJ87" s="24"/>
      <c r="CK87" s="20"/>
      <c r="CL87" s="20"/>
      <c r="CM87" s="20"/>
      <c r="CN87" s="20"/>
      <c r="CO87" s="20"/>
      <c r="CP87" s="20"/>
      <c r="CQ87" s="147" t="s">
        <v>138</v>
      </c>
      <c r="CR87" s="159">
        <f>CI92</f>
        <v>337</v>
      </c>
      <c r="CS87" s="25" t="s">
        <v>100</v>
      </c>
      <c r="CT87" s="149" t="s">
        <v>139</v>
      </c>
      <c r="CU87" s="159"/>
      <c r="CV87" s="26" t="s">
        <v>100</v>
      </c>
      <c r="CW87" s="20"/>
      <c r="CX87" s="20"/>
      <c r="CY87" s="20"/>
      <c r="CZ87" s="74"/>
    </row>
    <row r="88" spans="2:104" ht="24" customHeight="1" x14ac:dyDescent="0.25">
      <c r="B88" s="73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147" t="s">
        <v>140</v>
      </c>
      <c r="Q88" s="47">
        <f>SUM(Q83:Q87)</f>
        <v>3954.9999999999995</v>
      </c>
      <c r="R88" s="147" t="s">
        <v>12</v>
      </c>
      <c r="S88" s="219"/>
      <c r="T88" s="216"/>
      <c r="U88" s="230"/>
      <c r="V88" s="219"/>
      <c r="W88" s="20"/>
      <c r="X88" s="20"/>
      <c r="Y88" s="20"/>
      <c r="Z88" s="149" t="s">
        <v>141</v>
      </c>
      <c r="AA88" s="16">
        <f>U106</f>
        <v>24.54</v>
      </c>
      <c r="AB88" s="149" t="s">
        <v>12</v>
      </c>
      <c r="AC88" s="20"/>
      <c r="AD88" s="20"/>
      <c r="AE88" s="20"/>
      <c r="AF88" s="20"/>
      <c r="AG88" s="20"/>
      <c r="AH88" s="20"/>
      <c r="AI88" s="189" t="s">
        <v>116</v>
      </c>
      <c r="AJ88" s="266">
        <f>640.1/References!Q39</f>
        <v>381.01190476190482</v>
      </c>
      <c r="AK88" s="189" t="s">
        <v>130</v>
      </c>
      <c r="AL88" s="147" t="s">
        <v>142</v>
      </c>
      <c r="AM88" s="53"/>
      <c r="AN88" s="16">
        <f>AJ88</f>
        <v>381.01190476190482</v>
      </c>
      <c r="AO88" s="149" t="s">
        <v>130</v>
      </c>
      <c r="AP88" s="20"/>
      <c r="AQ88" s="20"/>
      <c r="AR88" s="20"/>
      <c r="AS88" s="20"/>
      <c r="AT88" s="20"/>
      <c r="AU88" s="196"/>
      <c r="AV88" s="33" t="s">
        <v>126</v>
      </c>
      <c r="AW88" s="101">
        <f>646/AV72</f>
        <v>294.59020489755125</v>
      </c>
      <c r="AX88" s="196"/>
      <c r="AY88" s="196"/>
      <c r="AZ88" s="159">
        <f>AZ87*AZ83</f>
        <v>679</v>
      </c>
      <c r="BA88" s="149" t="s">
        <v>84</v>
      </c>
      <c r="BD88" s="20"/>
      <c r="BE88" s="20"/>
      <c r="BF88" s="196"/>
      <c r="BG88" s="33" t="s">
        <v>126</v>
      </c>
      <c r="BH88" s="49">
        <v>0</v>
      </c>
      <c r="BI88" s="196"/>
      <c r="BJ88" s="196"/>
      <c r="BK88" s="49"/>
      <c r="BL88" s="149" t="s">
        <v>130</v>
      </c>
      <c r="BM88" s="20"/>
      <c r="BO88" s="20"/>
      <c r="BP88" s="20"/>
      <c r="BQ88" s="20"/>
      <c r="BR88" s="196"/>
      <c r="BS88" s="87" t="s">
        <v>126</v>
      </c>
      <c r="BT88" s="159">
        <f>213.6/BT84</f>
        <v>35.809296343927983</v>
      </c>
      <c r="BU88" s="196"/>
      <c r="BV88" s="196"/>
      <c r="BW88" s="159">
        <f>BW83*BW87</f>
        <v>889</v>
      </c>
      <c r="BX88" s="149" t="s">
        <v>164</v>
      </c>
      <c r="BY88" s="160"/>
      <c r="CB88" s="20"/>
      <c r="CC88" s="20"/>
      <c r="CD88" s="20"/>
      <c r="CE88" s="217" t="s">
        <v>116</v>
      </c>
      <c r="CF88" s="262"/>
      <c r="CG88" s="217" t="s">
        <v>100</v>
      </c>
      <c r="CH88" s="147" t="s">
        <v>143</v>
      </c>
      <c r="CI88" s="159">
        <v>504.7</v>
      </c>
      <c r="CJ88" s="149" t="s">
        <v>130</v>
      </c>
      <c r="CK88" s="20"/>
      <c r="CL88" s="20"/>
      <c r="CM88" s="20"/>
      <c r="CN88" s="20"/>
      <c r="CO88" s="20"/>
      <c r="CP88" s="20"/>
      <c r="CQ88" s="265"/>
      <c r="CR88" s="265"/>
      <c r="CS88" s="265"/>
      <c r="CT88" s="24"/>
      <c r="CU88" s="160"/>
      <c r="CV88" s="20"/>
      <c r="CW88" s="20"/>
      <c r="CX88" s="20"/>
      <c r="CY88" s="20"/>
      <c r="CZ88" s="74"/>
    </row>
    <row r="89" spans="2:104" ht="30" customHeight="1" x14ac:dyDescent="0.25">
      <c r="B89" s="73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31"/>
      <c r="U89" s="20"/>
      <c r="V89" s="20"/>
      <c r="W89" s="20"/>
      <c r="X89" s="20"/>
      <c r="Y89" s="20"/>
      <c r="AC89" s="20"/>
      <c r="AD89" s="20"/>
      <c r="AE89" s="20"/>
      <c r="AF89" s="20"/>
      <c r="AG89" s="20"/>
      <c r="AH89" s="20"/>
      <c r="AI89" s="196"/>
      <c r="AJ89" s="267"/>
      <c r="AK89" s="196"/>
      <c r="AL89" s="147" t="s">
        <v>144</v>
      </c>
      <c r="AM89" s="53"/>
      <c r="AN89" s="16">
        <f t="shared" ref="AN89" si="0">AM89*AJ89</f>
        <v>0</v>
      </c>
      <c r="AO89" s="149" t="s">
        <v>130</v>
      </c>
      <c r="AP89" s="20"/>
      <c r="AQ89" s="20"/>
      <c r="AR89" s="20">
        <f>AW83*AW89</f>
        <v>162</v>
      </c>
      <c r="AS89" s="20"/>
      <c r="AT89" s="20"/>
      <c r="AU89" s="189" t="s">
        <v>138</v>
      </c>
      <c r="AV89" s="149" t="s">
        <v>120</v>
      </c>
      <c r="AW89" s="97">
        <f>AN92</f>
        <v>15.644926577589629</v>
      </c>
      <c r="AX89" s="143" t="s">
        <v>130</v>
      </c>
      <c r="AY89" s="189" t="s">
        <v>138</v>
      </c>
      <c r="AZ89" s="96">
        <f>245/AZ83</f>
        <v>25.918411709296429</v>
      </c>
      <c r="BA89" s="149" t="s">
        <v>130</v>
      </c>
      <c r="BD89" s="20"/>
      <c r="BE89" s="20"/>
      <c r="BF89" s="189" t="s">
        <v>138</v>
      </c>
      <c r="BG89" s="149" t="s">
        <v>120</v>
      </c>
      <c r="BH89" s="98">
        <f>AZ89</f>
        <v>25.918411709296429</v>
      </c>
      <c r="BI89" s="143" t="s">
        <v>130</v>
      </c>
      <c r="BJ89" s="189" t="s">
        <v>138</v>
      </c>
      <c r="BK89" s="98">
        <f>BN116/BK83</f>
        <v>0</v>
      </c>
      <c r="BL89" s="149" t="s">
        <v>130</v>
      </c>
      <c r="BM89" s="20"/>
      <c r="BO89" s="20"/>
      <c r="BP89" s="20"/>
      <c r="BQ89" s="20"/>
      <c r="BR89" s="189" t="s">
        <v>138</v>
      </c>
      <c r="BS89" s="33" t="s">
        <v>53</v>
      </c>
      <c r="BT89" s="159"/>
      <c r="BU89" s="143" t="s">
        <v>130</v>
      </c>
      <c r="BV89" s="189" t="s">
        <v>138</v>
      </c>
      <c r="BW89" s="96">
        <f>352/BW83</f>
        <v>22.90539046844804</v>
      </c>
      <c r="BX89" s="149" t="s">
        <v>130</v>
      </c>
      <c r="BY89" s="160"/>
      <c r="CB89" s="20"/>
      <c r="CC89" s="20"/>
      <c r="CD89" s="20"/>
      <c r="CE89" s="217"/>
      <c r="CF89" s="262"/>
      <c r="CG89" s="217"/>
      <c r="CH89" s="147" t="s">
        <v>145</v>
      </c>
      <c r="CI89" s="53"/>
      <c r="CJ89" s="149" t="s">
        <v>130</v>
      </c>
      <c r="CK89" s="20"/>
      <c r="CL89" s="20"/>
      <c r="CM89" s="20"/>
      <c r="CN89" s="20"/>
      <c r="CO89" s="20"/>
      <c r="CP89" s="20"/>
      <c r="CQ89" s="265"/>
      <c r="CR89" s="265"/>
      <c r="CS89" s="265"/>
      <c r="CT89" s="24"/>
      <c r="CU89" s="20"/>
      <c r="CV89" s="20"/>
      <c r="CW89" s="20"/>
      <c r="CX89" s="20"/>
      <c r="CY89" s="20"/>
      <c r="CZ89" s="74"/>
    </row>
    <row r="90" spans="2:104" ht="18" customHeight="1" x14ac:dyDescent="0.25">
      <c r="B90" s="73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46" t="s">
        <v>106</v>
      </c>
      <c r="Q90" s="206">
        <f>M18</f>
        <v>1166.98</v>
      </c>
      <c r="R90" s="189" t="s">
        <v>12</v>
      </c>
      <c r="S90" s="205" t="s">
        <v>146</v>
      </c>
      <c r="T90" s="215">
        <f>U90/Q103</f>
        <v>3.2676621731270193E-2</v>
      </c>
      <c r="U90" s="244">
        <v>45.91</v>
      </c>
      <c r="V90" s="189" t="s">
        <v>12</v>
      </c>
      <c r="W90" s="20"/>
      <c r="X90" s="20"/>
      <c r="Y90" s="20"/>
      <c r="AC90" s="20"/>
      <c r="AD90" s="20"/>
      <c r="AE90" s="20"/>
      <c r="AF90" s="20"/>
      <c r="AG90" s="20"/>
      <c r="AH90" s="20"/>
      <c r="AI90" s="189" t="s">
        <v>106</v>
      </c>
      <c r="AJ90" s="249"/>
      <c r="AK90" s="189" t="s">
        <v>130</v>
      </c>
      <c r="AL90" s="147" t="s">
        <v>147</v>
      </c>
      <c r="AM90" s="53"/>
      <c r="AN90" s="97">
        <f>432/AN83</f>
        <v>41.719804206905678</v>
      </c>
      <c r="AO90" s="149" t="s">
        <v>130</v>
      </c>
      <c r="AP90" s="20"/>
      <c r="AQ90" s="20"/>
      <c r="AR90" s="20"/>
      <c r="AS90" s="20"/>
      <c r="AT90" s="20"/>
      <c r="AU90" s="196"/>
      <c r="AV90" s="149" t="s">
        <v>126</v>
      </c>
      <c r="AW90" s="101">
        <f>249/AV72</f>
        <v>113.54947526236882</v>
      </c>
      <c r="AX90" s="145"/>
      <c r="AY90" s="196"/>
      <c r="AZ90" s="159">
        <f>AZ89*AZ83</f>
        <v>245.00000000000003</v>
      </c>
      <c r="BA90" s="149" t="s">
        <v>84</v>
      </c>
      <c r="BD90" s="20"/>
      <c r="BE90" s="20"/>
      <c r="BF90" s="196"/>
      <c r="BG90" s="149" t="s">
        <v>126</v>
      </c>
      <c r="BH90" s="49">
        <v>0</v>
      </c>
      <c r="BI90" s="145"/>
      <c r="BJ90" s="196"/>
      <c r="BK90" s="49">
        <f>BK89*BK83</f>
        <v>0</v>
      </c>
      <c r="BL90" s="149" t="s">
        <v>12</v>
      </c>
      <c r="BM90" s="20"/>
      <c r="BO90" s="20"/>
      <c r="BP90" s="20"/>
      <c r="BQ90" s="20"/>
      <c r="BR90" s="196"/>
      <c r="BS90" s="87" t="s">
        <v>126</v>
      </c>
      <c r="BT90" s="159"/>
      <c r="BU90" s="145"/>
      <c r="BV90" s="196"/>
      <c r="BW90" s="159">
        <f>BW89*BW83</f>
        <v>352</v>
      </c>
      <c r="BX90" s="149" t="s">
        <v>164</v>
      </c>
      <c r="BY90" s="160"/>
      <c r="BZ90" s="160"/>
      <c r="CA90" s="160"/>
      <c r="CB90" s="20"/>
      <c r="CC90" s="20"/>
      <c r="CD90" s="20"/>
      <c r="CE90" s="205" t="s">
        <v>106</v>
      </c>
      <c r="CF90" s="249">
        <v>889</v>
      </c>
      <c r="CG90" s="189" t="s">
        <v>164</v>
      </c>
      <c r="CH90" s="147" t="s">
        <v>148</v>
      </c>
      <c r="CI90" s="159">
        <f>CF90-CI91</f>
        <v>651</v>
      </c>
      <c r="CJ90" s="149" t="s">
        <v>84</v>
      </c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  <c r="CZ90" s="74"/>
    </row>
    <row r="91" spans="2:104" ht="18" customHeight="1" x14ac:dyDescent="0.25">
      <c r="B91" s="73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47"/>
      <c r="Q91" s="207"/>
      <c r="R91" s="190"/>
      <c r="S91" s="205"/>
      <c r="T91" s="216"/>
      <c r="U91" s="245"/>
      <c r="V91" s="190"/>
      <c r="W91" s="20"/>
      <c r="X91" s="20"/>
      <c r="Y91" s="20"/>
      <c r="AC91" s="20"/>
      <c r="AD91" s="20"/>
      <c r="AE91" s="20"/>
      <c r="AF91" s="20"/>
      <c r="AG91" s="20"/>
      <c r="AH91" s="20"/>
      <c r="AI91" s="196"/>
      <c r="AJ91" s="250"/>
      <c r="AK91" s="196"/>
      <c r="AL91" s="147" t="s">
        <v>149</v>
      </c>
      <c r="AM91" s="53"/>
      <c r="AN91" s="16">
        <f t="shared" ref="AN91" si="1">AM91*AJ91</f>
        <v>0</v>
      </c>
      <c r="AO91" s="149" t="s">
        <v>130</v>
      </c>
      <c r="AP91" s="20"/>
      <c r="AQ91" s="20"/>
      <c r="AR91" s="20"/>
      <c r="AS91" s="20"/>
      <c r="AT91" s="20"/>
      <c r="AU91" s="20"/>
      <c r="AV91" s="20" t="s">
        <v>28</v>
      </c>
      <c r="AW91" s="24">
        <f>(AW90*AW84)+(AW89*AW83)</f>
        <v>411</v>
      </c>
      <c r="AX91" s="24" t="s">
        <v>84</v>
      </c>
      <c r="AY91" s="24" t="s">
        <v>225</v>
      </c>
      <c r="AZ91" s="24">
        <f>AW89*AW83</f>
        <v>162</v>
      </c>
      <c r="BA91" s="20"/>
      <c r="BD91" s="20"/>
      <c r="BE91" s="20"/>
      <c r="BF91" s="20"/>
      <c r="BG91" s="20"/>
      <c r="BH91" s="20"/>
      <c r="BI91" s="20"/>
      <c r="BJ91" s="42" t="s">
        <v>54</v>
      </c>
      <c r="BK91" s="177">
        <f>BJ71</f>
        <v>9.2899999999999991</v>
      </c>
      <c r="BL91" s="149" t="s">
        <v>84</v>
      </c>
      <c r="BM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5"/>
      <c r="CF91" s="250"/>
      <c r="CG91" s="196"/>
      <c r="CH91" s="147" t="s">
        <v>150</v>
      </c>
      <c r="CI91" s="159">
        <v>238</v>
      </c>
      <c r="CJ91" s="149" t="s">
        <v>84</v>
      </c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74"/>
    </row>
    <row r="92" spans="2:104" ht="18" customHeight="1" x14ac:dyDescent="0.25">
      <c r="B92" s="73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47"/>
      <c r="Q92" s="207"/>
      <c r="R92" s="190"/>
      <c r="S92" s="205" t="s">
        <v>151</v>
      </c>
      <c r="T92" s="215">
        <f>U92/Q103</f>
        <v>0.15213027943458271</v>
      </c>
      <c r="U92" s="244">
        <v>213.74</v>
      </c>
      <c r="V92" s="190"/>
      <c r="W92" s="20"/>
      <c r="X92" s="20"/>
      <c r="Y92" s="20"/>
      <c r="AC92" s="20"/>
      <c r="AD92" s="20"/>
      <c r="AE92" s="20"/>
      <c r="AF92" s="20"/>
      <c r="AG92" s="20"/>
      <c r="AH92" s="20"/>
      <c r="AI92" s="189" t="s">
        <v>138</v>
      </c>
      <c r="AJ92" s="154"/>
      <c r="AK92" s="143" t="s">
        <v>130</v>
      </c>
      <c r="AL92" s="147" t="s">
        <v>152</v>
      </c>
      <c r="AM92" s="53"/>
      <c r="AN92" s="97">
        <f>162/AN83</f>
        <v>15.644926577589629</v>
      </c>
      <c r="AO92" s="149" t="s">
        <v>130</v>
      </c>
      <c r="AP92" s="20"/>
      <c r="AQ92" s="20"/>
      <c r="AR92" s="20"/>
      <c r="AS92" s="20"/>
      <c r="AT92" s="20"/>
      <c r="AU92" s="20"/>
      <c r="AV92" s="20" t="s">
        <v>226</v>
      </c>
      <c r="AW92" s="24">
        <f>AW91-AZ90</f>
        <v>165.99999999999997</v>
      </c>
      <c r="AX92" s="20"/>
      <c r="AY92" s="24" t="s">
        <v>225</v>
      </c>
      <c r="AZ92" s="24">
        <f>AZ90-AZ91</f>
        <v>83.000000000000028</v>
      </c>
      <c r="BA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17" t="s">
        <v>138</v>
      </c>
      <c r="CF92" s="261">
        <v>352</v>
      </c>
      <c r="CG92" s="217" t="s">
        <v>164</v>
      </c>
      <c r="CH92" s="147" t="s">
        <v>153</v>
      </c>
      <c r="CI92" s="158">
        <f>CF92-CI93</f>
        <v>337</v>
      </c>
      <c r="CJ92" s="149" t="s">
        <v>84</v>
      </c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74"/>
    </row>
    <row r="93" spans="2:104" x14ac:dyDescent="0.25">
      <c r="B93" s="73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47"/>
      <c r="Q93" s="207"/>
      <c r="R93" s="190"/>
      <c r="S93" s="205"/>
      <c r="T93" s="216"/>
      <c r="U93" s="245"/>
      <c r="V93" s="190"/>
      <c r="W93" s="20"/>
      <c r="X93" s="20"/>
      <c r="Y93" s="20"/>
      <c r="AC93" s="20"/>
      <c r="AD93" s="20"/>
      <c r="AE93" s="20"/>
      <c r="AF93" s="20"/>
      <c r="AG93" s="20"/>
      <c r="AH93" s="20"/>
      <c r="AI93" s="196"/>
      <c r="AJ93" s="155"/>
      <c r="AK93" s="145"/>
      <c r="AL93" s="19" t="s">
        <v>154</v>
      </c>
      <c r="AM93" s="53"/>
      <c r="AN93" s="16">
        <f>AM93*AJ93</f>
        <v>0</v>
      </c>
      <c r="AO93" s="149" t="s">
        <v>130</v>
      </c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17"/>
      <c r="CF93" s="261"/>
      <c r="CG93" s="217"/>
      <c r="CH93" s="147" t="s">
        <v>155</v>
      </c>
      <c r="CI93" s="159">
        <v>15</v>
      </c>
      <c r="CJ93" s="149" t="s">
        <v>84</v>
      </c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74"/>
    </row>
    <row r="94" spans="2:104" x14ac:dyDescent="0.25">
      <c r="B94" s="73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47"/>
      <c r="Q94" s="207"/>
      <c r="R94" s="190"/>
      <c r="S94" s="205" t="s">
        <v>156</v>
      </c>
      <c r="T94" s="215">
        <f>U94/Q103</f>
        <v>2.8719270025196083E-2</v>
      </c>
      <c r="U94" s="244">
        <f>300-U90-U92</f>
        <v>40.349999999999994</v>
      </c>
      <c r="V94" s="190"/>
      <c r="W94" s="20"/>
      <c r="X94" s="20"/>
      <c r="Y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74"/>
    </row>
    <row r="95" spans="2:104" x14ac:dyDescent="0.25">
      <c r="B95" s="73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48"/>
      <c r="Q95" s="208"/>
      <c r="R95" s="196"/>
      <c r="S95" s="205"/>
      <c r="T95" s="216"/>
      <c r="U95" s="245"/>
      <c r="V95" s="19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4"/>
      <c r="AU95" s="24"/>
      <c r="AV95" s="24"/>
      <c r="AW95" s="24"/>
      <c r="AX95" s="20"/>
      <c r="AY95" s="24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74"/>
    </row>
    <row r="96" spans="2:104" x14ac:dyDescent="0.25">
      <c r="B96" s="73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35" t="s">
        <v>157</v>
      </c>
      <c r="Q96" s="238"/>
      <c r="R96" s="189" t="s">
        <v>12</v>
      </c>
      <c r="S96" s="205" t="s">
        <v>158</v>
      </c>
      <c r="T96" s="215">
        <f>U96/Q103</f>
        <v>0.30747768651511054</v>
      </c>
      <c r="U96" s="221">
        <f>AN83*AN90</f>
        <v>432</v>
      </c>
      <c r="V96" s="19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33"/>
      <c r="AU96" s="234"/>
      <c r="AV96" s="233"/>
      <c r="AW96" s="30"/>
      <c r="AX96" s="31"/>
      <c r="AY96" s="232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  <c r="CZ96" s="74"/>
    </row>
    <row r="97" spans="2:104" x14ac:dyDescent="0.25">
      <c r="B97" s="73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36"/>
      <c r="Q97" s="239"/>
      <c r="R97" s="190"/>
      <c r="S97" s="205"/>
      <c r="T97" s="216"/>
      <c r="U97" s="222"/>
      <c r="V97" s="190"/>
      <c r="W97" s="20"/>
      <c r="X97" s="20"/>
      <c r="Y97" s="129">
        <f>T90*Q103</f>
        <v>45.91</v>
      </c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33"/>
      <c r="AU97" s="234"/>
      <c r="AV97" s="233"/>
      <c r="AW97" s="32"/>
      <c r="AX97" s="31"/>
      <c r="AY97" s="232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74"/>
    </row>
    <row r="98" spans="2:104" x14ac:dyDescent="0.25">
      <c r="B98" s="73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36"/>
      <c r="Q98" s="239"/>
      <c r="R98" s="190"/>
      <c r="S98" s="205" t="s">
        <v>159</v>
      </c>
      <c r="T98" s="215">
        <f>U98/Q103</f>
        <v>0.47869614229384044</v>
      </c>
      <c r="U98" s="221">
        <f>Q103-(SUM(U90,U92,U94,U96,U100))</f>
        <v>672.55850599999997</v>
      </c>
      <c r="V98" s="19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33"/>
      <c r="AU98" s="234"/>
      <c r="AV98" s="233"/>
      <c r="AW98" s="30"/>
      <c r="AX98" s="20"/>
      <c r="AY98" s="24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74"/>
    </row>
    <row r="99" spans="2:104" x14ac:dyDescent="0.25">
      <c r="B99" s="73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36"/>
      <c r="Q99" s="239"/>
      <c r="R99" s="190"/>
      <c r="S99" s="205"/>
      <c r="T99" s="216"/>
      <c r="U99" s="222"/>
      <c r="V99" s="19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33"/>
      <c r="AU99" s="234"/>
      <c r="AV99" s="233"/>
      <c r="AW99" s="30"/>
      <c r="AX99" s="31"/>
      <c r="AY99" s="232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74"/>
    </row>
    <row r="100" spans="2:104" ht="18" customHeight="1" x14ac:dyDescent="0.25">
      <c r="B100" s="73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36"/>
      <c r="Q100" s="239"/>
      <c r="R100" s="190"/>
      <c r="S100" s="189" t="s">
        <v>160</v>
      </c>
      <c r="T100" s="241">
        <f>U100/Q103</f>
        <v>2.9999999999999997E-4</v>
      </c>
      <c r="U100" s="223">
        <f>Emissions!F9*'Mass flow'!Q103</f>
        <v>0.42149399999999998</v>
      </c>
      <c r="V100" s="19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33"/>
      <c r="AU100" s="234"/>
      <c r="AV100" s="233"/>
      <c r="AW100" s="32"/>
      <c r="AX100" s="31"/>
      <c r="AY100" s="232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74"/>
    </row>
    <row r="101" spans="2:104" ht="30" x14ac:dyDescent="0.25">
      <c r="B101" s="73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37"/>
      <c r="Q101" s="240"/>
      <c r="R101" s="196"/>
      <c r="S101" s="190"/>
      <c r="T101" s="242"/>
      <c r="U101" s="224"/>
      <c r="V101" s="19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33"/>
      <c r="AU101" s="234"/>
      <c r="AV101" s="233"/>
      <c r="AW101" s="30"/>
      <c r="AX101" s="20"/>
      <c r="AY101" s="24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33" t="s">
        <v>161</v>
      </c>
      <c r="CU101" s="158">
        <v>110.3</v>
      </c>
      <c r="CV101" s="149" t="s">
        <v>162</v>
      </c>
      <c r="CW101" s="20"/>
      <c r="CX101" s="20"/>
      <c r="CY101" s="20"/>
      <c r="CZ101" s="74"/>
    </row>
    <row r="102" spans="2:104" x14ac:dyDescent="0.25">
      <c r="B102" s="73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152" t="s">
        <v>150</v>
      </c>
      <c r="Q102" s="153">
        <v>238</v>
      </c>
      <c r="R102" s="145" t="s">
        <v>12</v>
      </c>
      <c r="S102" s="190"/>
      <c r="T102" s="242"/>
      <c r="U102" s="224"/>
      <c r="V102" s="19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150"/>
      <c r="AU102" s="151"/>
      <c r="AV102" s="150"/>
      <c r="AW102" s="30"/>
      <c r="AX102" s="20"/>
      <c r="AY102" s="24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74"/>
    </row>
    <row r="103" spans="2:104" x14ac:dyDescent="0.25">
      <c r="B103" s="73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147" t="s">
        <v>163</v>
      </c>
      <c r="Q103" s="41">
        <f>SUM(Q90:Q102)</f>
        <v>1404.98</v>
      </c>
      <c r="R103" s="147" t="s">
        <v>12</v>
      </c>
      <c r="S103" s="196"/>
      <c r="T103" s="243"/>
      <c r="U103" s="225"/>
      <c r="V103" s="196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U103" s="20"/>
      <c r="CV103" s="20"/>
      <c r="CW103" s="20"/>
      <c r="CX103" s="20"/>
      <c r="CY103" s="20"/>
      <c r="CZ103" s="74"/>
    </row>
    <row r="104" spans="2:104" x14ac:dyDescent="0.25">
      <c r="B104" s="73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74"/>
    </row>
    <row r="105" spans="2:104" x14ac:dyDescent="0.25">
      <c r="B105" s="73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74"/>
    </row>
    <row r="106" spans="2:104" ht="18" x14ac:dyDescent="0.25">
      <c r="B106" s="73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149" t="s">
        <v>138</v>
      </c>
      <c r="Q106" s="158">
        <f>O18</f>
        <v>184.11</v>
      </c>
      <c r="R106" s="217" t="s">
        <v>164</v>
      </c>
      <c r="S106" s="149" t="s">
        <v>141</v>
      </c>
      <c r="T106" s="117">
        <f>U106/Q109</f>
        <v>0.12306303595607039</v>
      </c>
      <c r="U106" s="159">
        <v>24.54</v>
      </c>
      <c r="V106" s="217" t="s">
        <v>164</v>
      </c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74"/>
    </row>
    <row r="107" spans="2:104" x14ac:dyDescent="0.25">
      <c r="B107" s="73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149" t="s">
        <v>165</v>
      </c>
      <c r="Q107" s="158"/>
      <c r="R107" s="217"/>
      <c r="S107" s="217" t="s">
        <v>166</v>
      </c>
      <c r="T107" s="226">
        <f>U107/Q109</f>
        <v>0.87693696404392962</v>
      </c>
      <c r="U107" s="227">
        <f>(Q106+Q108-U106)</f>
        <v>174.87000000000003</v>
      </c>
      <c r="V107" s="217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74"/>
    </row>
    <row r="108" spans="2:104" x14ac:dyDescent="0.25">
      <c r="B108" s="73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147" t="s">
        <v>167</v>
      </c>
      <c r="Q108" s="159">
        <v>15.3</v>
      </c>
      <c r="R108" s="217"/>
      <c r="S108" s="217"/>
      <c r="T108" s="226"/>
      <c r="U108" s="227"/>
      <c r="V108" s="217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74"/>
    </row>
    <row r="109" spans="2:104" x14ac:dyDescent="0.25">
      <c r="B109" s="73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147" t="s">
        <v>112</v>
      </c>
      <c r="Q109" s="16">
        <f>SUM(Q106:Q108)</f>
        <v>199.41000000000003</v>
      </c>
      <c r="R109" s="217"/>
      <c r="S109" s="217"/>
      <c r="T109" s="226"/>
      <c r="U109" s="227"/>
      <c r="V109" s="217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74"/>
    </row>
    <row r="110" spans="2:104" x14ac:dyDescent="0.25">
      <c r="B110" s="73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74"/>
    </row>
    <row r="111" spans="2:104" ht="15.75" thickBot="1" x14ac:dyDescent="0.3">
      <c r="B111" s="77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78"/>
      <c r="BL111" s="78"/>
      <c r="BM111" s="78"/>
      <c r="BN111" s="78"/>
      <c r="BO111" s="78"/>
      <c r="BP111" s="78"/>
      <c r="BQ111" s="78"/>
      <c r="BR111" s="78"/>
      <c r="BS111" s="78"/>
      <c r="BT111" s="78"/>
      <c r="BU111" s="78"/>
      <c r="BV111" s="78"/>
      <c r="BW111" s="78"/>
      <c r="BX111" s="78"/>
      <c r="BY111" s="78"/>
      <c r="BZ111" s="78"/>
      <c r="CA111" s="78"/>
      <c r="CB111" s="78"/>
      <c r="CC111" s="78"/>
      <c r="CD111" s="78"/>
      <c r="CE111" s="78"/>
      <c r="CF111" s="78"/>
      <c r="CG111" s="78"/>
      <c r="CH111" s="78"/>
      <c r="CI111" s="78"/>
      <c r="CJ111" s="78"/>
      <c r="CK111" s="78"/>
      <c r="CL111" s="78"/>
      <c r="CM111" s="78"/>
      <c r="CN111" s="78"/>
      <c r="CO111" s="78"/>
      <c r="CP111" s="78"/>
      <c r="CQ111" s="78"/>
      <c r="CR111" s="78"/>
      <c r="CS111" s="78"/>
      <c r="CT111" s="78"/>
      <c r="CU111" s="78"/>
      <c r="CV111" s="78"/>
      <c r="CW111" s="78"/>
      <c r="CX111" s="78"/>
      <c r="CY111" s="78"/>
      <c r="CZ111" s="79"/>
    </row>
    <row r="113" spans="53:77" x14ac:dyDescent="0.25">
      <c r="BN113" s="20"/>
    </row>
    <row r="114" spans="53:77" x14ac:dyDescent="0.25">
      <c r="BN114" s="126"/>
    </row>
    <row r="115" spans="53:77" x14ac:dyDescent="0.25">
      <c r="BN115" s="20"/>
    </row>
    <row r="116" spans="53:77" x14ac:dyDescent="0.25">
      <c r="BN116" s="122"/>
    </row>
    <row r="117" spans="53:77" x14ac:dyDescent="0.25">
      <c r="BN117" s="20"/>
    </row>
    <row r="118" spans="53:77" x14ac:dyDescent="0.25">
      <c r="BN118" s="20"/>
    </row>
    <row r="119" spans="53:77" x14ac:dyDescent="0.25">
      <c r="BN119" s="20"/>
    </row>
    <row r="120" spans="53:77" x14ac:dyDescent="0.25">
      <c r="BN120" s="20"/>
    </row>
    <row r="123" spans="53:77" x14ac:dyDescent="0.25">
      <c r="BA123" s="160">
        <f>AZ87*AZ83</f>
        <v>679</v>
      </c>
      <c r="BB123" s="160" t="s">
        <v>12</v>
      </c>
    </row>
    <row r="124" spans="53:77" x14ac:dyDescent="0.25">
      <c r="BA124" s="160"/>
      <c r="BB124" s="160"/>
    </row>
    <row r="125" spans="53:77" x14ac:dyDescent="0.25">
      <c r="BA125" s="160">
        <f>AZ89*AZ83</f>
        <v>245.00000000000003</v>
      </c>
      <c r="BB125" s="160" t="s">
        <v>12</v>
      </c>
      <c r="BX125" s="160"/>
      <c r="BY125" s="160"/>
    </row>
    <row r="126" spans="53:77" x14ac:dyDescent="0.25">
      <c r="BA126" s="160">
        <f>BA125-AR89</f>
        <v>83.000000000000028</v>
      </c>
      <c r="BB126" s="160"/>
      <c r="BX126" s="160"/>
      <c r="BY126" s="127"/>
    </row>
    <row r="127" spans="53:77" x14ac:dyDescent="0.25">
      <c r="BA127" s="20"/>
      <c r="BB127" s="20"/>
      <c r="BX127" s="160"/>
      <c r="BY127" s="160"/>
    </row>
    <row r="128" spans="53:77" x14ac:dyDescent="0.25">
      <c r="BA128" s="20"/>
      <c r="BB128" s="20"/>
      <c r="BX128" s="160"/>
      <c r="BY128" s="128"/>
    </row>
    <row r="129" spans="53:54" x14ac:dyDescent="0.25">
      <c r="BA129" s="20">
        <f>249+162</f>
        <v>411</v>
      </c>
      <c r="BB129" s="20"/>
    </row>
  </sheetData>
  <mergeCells count="170">
    <mergeCell ref="CQ68:CS68"/>
    <mergeCell ref="CQ88:CQ89"/>
    <mergeCell ref="AI88:AI89"/>
    <mergeCell ref="AJ88:AJ89"/>
    <mergeCell ref="AK88:AK89"/>
    <mergeCell ref="CR88:CR89"/>
    <mergeCell ref="CS88:CS89"/>
    <mergeCell ref="CH68:CJ68"/>
    <mergeCell ref="BF68:BH68"/>
    <mergeCell ref="BI68:BK68"/>
    <mergeCell ref="BF81:BF82"/>
    <mergeCell ref="BJ81:BL81"/>
    <mergeCell ref="BF83:BF84"/>
    <mergeCell ref="BI83:BI84"/>
    <mergeCell ref="BI85:BI86"/>
    <mergeCell ref="BJ85:BJ86"/>
    <mergeCell ref="BI87:BI88"/>
    <mergeCell ref="BJ87:BJ88"/>
    <mergeCell ref="BF85:BF86"/>
    <mergeCell ref="BR68:BT68"/>
    <mergeCell ref="BU68:BW68"/>
    <mergeCell ref="AI68:AK68"/>
    <mergeCell ref="AL68:AN68"/>
    <mergeCell ref="AI81:AK81"/>
    <mergeCell ref="CT68:CV68"/>
    <mergeCell ref="CQ81:CS81"/>
    <mergeCell ref="CT81:CV81"/>
    <mergeCell ref="CE81:CG81"/>
    <mergeCell ref="CH81:CJ81"/>
    <mergeCell ref="CE88:CE89"/>
    <mergeCell ref="CF88:CF89"/>
    <mergeCell ref="CG88:CG89"/>
    <mergeCell ref="AI85:AI86"/>
    <mergeCell ref="AI83:AI84"/>
    <mergeCell ref="AK85:AK86"/>
    <mergeCell ref="AK83:AK84"/>
    <mergeCell ref="AJ83:AJ84"/>
    <mergeCell ref="AJ85:AJ86"/>
    <mergeCell ref="BF87:BF88"/>
    <mergeCell ref="BF89:BF90"/>
    <mergeCell ref="BG81:BI81"/>
    <mergeCell ref="BR87:BR88"/>
    <mergeCell ref="BU87:BU88"/>
    <mergeCell ref="BV87:BV88"/>
    <mergeCell ref="CE90:CE91"/>
    <mergeCell ref="CG90:CG91"/>
    <mergeCell ref="CF90:CF91"/>
    <mergeCell ref="CE68:CG68"/>
    <mergeCell ref="CE92:CE93"/>
    <mergeCell ref="CF92:CF93"/>
    <mergeCell ref="CG92:CG93"/>
    <mergeCell ref="BV85:BV86"/>
    <mergeCell ref="BU85:BU86"/>
    <mergeCell ref="BR85:BR86"/>
    <mergeCell ref="BV81:BX81"/>
    <mergeCell ref="BR83:BR84"/>
    <mergeCell ref="BU83:BU84"/>
    <mergeCell ref="BR89:BR90"/>
    <mergeCell ref="BV89:BV90"/>
    <mergeCell ref="BR81:BR82"/>
    <mergeCell ref="BS81:BU81"/>
    <mergeCell ref="AU83:AU84"/>
    <mergeCell ref="AU81:AU82"/>
    <mergeCell ref="AX68:AZ68"/>
    <mergeCell ref="AV81:AX81"/>
    <mergeCell ref="AY81:BA81"/>
    <mergeCell ref="AX83:AX84"/>
    <mergeCell ref="AU68:AW68"/>
    <mergeCell ref="AL81:AO81"/>
    <mergeCell ref="AU87:AU88"/>
    <mergeCell ref="BJ89:BJ90"/>
    <mergeCell ref="AU89:AU90"/>
    <mergeCell ref="AI90:AI91"/>
    <mergeCell ref="AJ90:AJ91"/>
    <mergeCell ref="AK90:AK91"/>
    <mergeCell ref="AX87:AX88"/>
    <mergeCell ref="AY87:AY88"/>
    <mergeCell ref="AY89:AY90"/>
    <mergeCell ref="AU85:AU86"/>
    <mergeCell ref="AY85:AY86"/>
    <mergeCell ref="AX85:AX86"/>
    <mergeCell ref="R106:R109"/>
    <mergeCell ref="S107:S109"/>
    <mergeCell ref="AI92:AI93"/>
    <mergeCell ref="AY96:AY97"/>
    <mergeCell ref="AT99:AT101"/>
    <mergeCell ref="AU99:AU101"/>
    <mergeCell ref="AV99:AV101"/>
    <mergeCell ref="P96:P101"/>
    <mergeCell ref="Q96:Q101"/>
    <mergeCell ref="R96:R101"/>
    <mergeCell ref="AY99:AY100"/>
    <mergeCell ref="V90:V103"/>
    <mergeCell ref="T94:T95"/>
    <mergeCell ref="T96:T97"/>
    <mergeCell ref="T98:T99"/>
    <mergeCell ref="T100:T103"/>
    <mergeCell ref="U90:U91"/>
    <mergeCell ref="U92:U93"/>
    <mergeCell ref="U94:U95"/>
    <mergeCell ref="U96:U97"/>
    <mergeCell ref="AT96:AT98"/>
    <mergeCell ref="AV96:AV98"/>
    <mergeCell ref="AU96:AU98"/>
    <mergeCell ref="P90:P95"/>
    <mergeCell ref="S100:S103"/>
    <mergeCell ref="T90:T91"/>
    <mergeCell ref="T92:T93"/>
    <mergeCell ref="V106:V109"/>
    <mergeCell ref="S83:S84"/>
    <mergeCell ref="S86:S88"/>
    <mergeCell ref="S90:S91"/>
    <mergeCell ref="S92:S93"/>
    <mergeCell ref="S94:S95"/>
    <mergeCell ref="U98:U99"/>
    <mergeCell ref="U100:U103"/>
    <mergeCell ref="T107:T109"/>
    <mergeCell ref="U107:U109"/>
    <mergeCell ref="U86:U88"/>
    <mergeCell ref="T86:T88"/>
    <mergeCell ref="U83:U84"/>
    <mergeCell ref="T83:T84"/>
    <mergeCell ref="V83:V88"/>
    <mergeCell ref="E29:E30"/>
    <mergeCell ref="D32:E33"/>
    <mergeCell ref="C32:C33"/>
    <mergeCell ref="S81:V81"/>
    <mergeCell ref="D27:E27"/>
    <mergeCell ref="D28:D30"/>
    <mergeCell ref="S98:S99"/>
    <mergeCell ref="S96:S97"/>
    <mergeCell ref="Q90:Q95"/>
    <mergeCell ref="R90:R95"/>
    <mergeCell ref="P83:P85"/>
    <mergeCell ref="Q83:Q85"/>
    <mergeCell ref="R83:R85"/>
    <mergeCell ref="C28:C30"/>
    <mergeCell ref="C22:C23"/>
    <mergeCell ref="D22:E23"/>
    <mergeCell ref="G26:M26"/>
    <mergeCell ref="Q26:V26"/>
    <mergeCell ref="D20:E21"/>
    <mergeCell ref="C20:C21"/>
    <mergeCell ref="Q17:V17"/>
    <mergeCell ref="D34:E34"/>
    <mergeCell ref="P81:R81"/>
    <mergeCell ref="F15:F17"/>
    <mergeCell ref="P15:P16"/>
    <mergeCell ref="Q15:V15"/>
    <mergeCell ref="C15:C17"/>
    <mergeCell ref="D31:E31"/>
    <mergeCell ref="H15:M15"/>
    <mergeCell ref="E68:G68"/>
    <mergeCell ref="H68:J68"/>
    <mergeCell ref="D15:E17"/>
    <mergeCell ref="D18:E18"/>
    <mergeCell ref="D19:E19"/>
    <mergeCell ref="G15:G16"/>
    <mergeCell ref="C18:C19"/>
    <mergeCell ref="P68:R68"/>
    <mergeCell ref="S68:U68"/>
    <mergeCell ref="O15:O16"/>
    <mergeCell ref="N15:N16"/>
    <mergeCell ref="G24:G25"/>
    <mergeCell ref="H24:M24"/>
    <mergeCell ref="N24:N25"/>
    <mergeCell ref="O24:O25"/>
    <mergeCell ref="P24:P25"/>
    <mergeCell ref="Q24:V24"/>
    <mergeCell ref="H17:L17"/>
  </mergeCells>
  <hyperlinks>
    <hyperlink ref="F32:G32" location="'With NuReSys'!S125" display="Centrate (after digestate dewatering)" xr:uid="{00000000-0004-0000-0100-000000000000}"/>
    <hyperlink ref="F33:G33" location="'With NuReSys'!CI132" display="Solid fraction (after digestate dewatering)" xr:uid="{00000000-0004-0000-0100-000001000000}"/>
    <hyperlink ref="D19:E19" location="'Mass flow'!D68" display="Pretreatment (odour control, grit removal)" xr:uid="{00000000-0004-0000-0100-000002000000}"/>
    <hyperlink ref="D20:E21" location="'Mass flow'!R74" display="Biological treatment" xr:uid="{00000000-0004-0000-0100-000003000000}"/>
    <hyperlink ref="D27:E27" location="'Mass flow'!AX88" display="Anaerobic Digestion" xr:uid="{00000000-0004-0000-0100-000004000000}"/>
    <hyperlink ref="D28:D30" location="'Mass flow'!BI90" display="NuReSys" xr:uid="{00000000-0004-0000-0100-000005000000}"/>
    <hyperlink ref="D31:E31" location="'Mass flow'!BU90" display="Sludge buffer tank" xr:uid="{00000000-0004-0000-0100-000006000000}"/>
    <hyperlink ref="D32:E33" location="'Mass flow'!CI91" display="Dewatering" xr:uid="{00000000-0004-0000-0100-000007000000}"/>
    <hyperlink ref="D34:E34" location="'Mass flow'!CU89" display="Drying" xr:uid="{00000000-0004-0000-0100-000008000000}"/>
  </hyperlink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E5:G9"/>
  <sheetViews>
    <sheetView topLeftCell="Q1" workbookViewId="0">
      <selection activeCell="J24" sqref="J24"/>
    </sheetView>
  </sheetViews>
  <sheetFormatPr defaultRowHeight="15" x14ac:dyDescent="0.25"/>
  <sheetData>
    <row r="5" spans="5:7" x14ac:dyDescent="0.25">
      <c r="F5" t="s">
        <v>168</v>
      </c>
    </row>
    <row r="9" spans="5:7" x14ac:dyDescent="0.25">
      <c r="E9" t="s">
        <v>169</v>
      </c>
      <c r="F9">
        <v>2.9999999999999997E-4</v>
      </c>
      <c r="G9" t="s">
        <v>170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autoPageBreaks="0"/>
  </sheetPr>
  <dimension ref="B1:AC83"/>
  <sheetViews>
    <sheetView topLeftCell="L54" zoomScaleNormal="100" workbookViewId="0">
      <selection activeCell="R62" sqref="R62"/>
    </sheetView>
  </sheetViews>
  <sheetFormatPr defaultRowHeight="15" x14ac:dyDescent="0.25"/>
  <cols>
    <col min="1" max="2" width="9.140625" style="17"/>
    <col min="3" max="3" width="11.7109375" style="17" customWidth="1"/>
    <col min="4" max="4" width="8.42578125" style="17" customWidth="1"/>
    <col min="5" max="5" width="21.140625" style="17" customWidth="1"/>
    <col min="6" max="6" width="30" style="17" customWidth="1"/>
    <col min="7" max="7" width="28.140625" style="17" customWidth="1"/>
    <col min="8" max="8" width="16" style="17" customWidth="1"/>
    <col min="9" max="9" width="16.7109375" style="17" customWidth="1"/>
    <col min="10" max="10" width="11" style="17" customWidth="1"/>
    <col min="11" max="11" width="12.7109375" style="17" customWidth="1"/>
    <col min="12" max="12" width="13.7109375" style="17" customWidth="1"/>
    <col min="13" max="13" width="15.28515625" style="17" bestFit="1" customWidth="1"/>
    <col min="14" max="14" width="15" style="17" customWidth="1"/>
    <col min="15" max="15" width="9.140625" style="17"/>
    <col min="16" max="16" width="13.140625" style="17" customWidth="1"/>
    <col min="17" max="17" width="12.28515625" style="17" customWidth="1"/>
    <col min="18" max="16384" width="9.140625" style="17"/>
  </cols>
  <sheetData>
    <row r="1" spans="2:20" ht="15.75" thickBot="1" x14ac:dyDescent="0.3"/>
    <row r="2" spans="2:20" x14ac:dyDescent="0.25">
      <c r="B2" s="70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2"/>
    </row>
    <row r="3" spans="2:20" ht="21" x14ac:dyDescent="0.35">
      <c r="B3" s="73"/>
      <c r="C3" s="20"/>
      <c r="D3" s="301" t="s">
        <v>171</v>
      </c>
      <c r="E3" s="301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1"/>
      <c r="T3" s="302"/>
    </row>
    <row r="4" spans="2:20" x14ac:dyDescent="0.25">
      <c r="B4" s="73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74"/>
    </row>
    <row r="5" spans="2:20" x14ac:dyDescent="0.25">
      <c r="B5" s="73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74"/>
    </row>
    <row r="6" spans="2:20" x14ac:dyDescent="0.25">
      <c r="B6" s="73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74"/>
    </row>
    <row r="7" spans="2:20" ht="21" x14ac:dyDescent="0.35">
      <c r="B7" s="73"/>
      <c r="C7" s="75" t="s">
        <v>172</v>
      </c>
      <c r="D7" s="20"/>
      <c r="E7" s="189" t="s">
        <v>173</v>
      </c>
      <c r="F7" s="303" t="s">
        <v>174</v>
      </c>
      <c r="G7" s="217" t="s">
        <v>175</v>
      </c>
      <c r="H7" s="147" t="s">
        <v>176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74"/>
    </row>
    <row r="8" spans="2:20" x14ac:dyDescent="0.25">
      <c r="B8" s="73"/>
      <c r="C8" s="20"/>
      <c r="D8" s="20"/>
      <c r="E8" s="196"/>
      <c r="F8" s="303"/>
      <c r="G8" s="217"/>
      <c r="H8" s="147" t="s">
        <v>177</v>
      </c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74"/>
    </row>
    <row r="9" spans="2:20" x14ac:dyDescent="0.25">
      <c r="B9" s="73"/>
      <c r="C9" s="20"/>
      <c r="D9" s="20"/>
      <c r="E9" s="217" t="s">
        <v>50</v>
      </c>
      <c r="F9" s="53"/>
      <c r="G9" s="159">
        <v>30</v>
      </c>
      <c r="H9" s="159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74"/>
    </row>
    <row r="10" spans="2:20" x14ac:dyDescent="0.25">
      <c r="B10" s="73"/>
      <c r="C10" s="20"/>
      <c r="D10" s="20"/>
      <c r="E10" s="217"/>
      <c r="F10" s="53"/>
      <c r="G10" s="53"/>
      <c r="H10" s="159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74"/>
    </row>
    <row r="11" spans="2:20" x14ac:dyDescent="0.25">
      <c r="B11" s="73"/>
      <c r="C11" s="20"/>
      <c r="D11" s="20"/>
      <c r="E11" s="217"/>
      <c r="F11" s="53"/>
      <c r="G11" s="53"/>
      <c r="H11" s="159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74"/>
    </row>
    <row r="12" spans="2:20" x14ac:dyDescent="0.25">
      <c r="B12" s="73"/>
      <c r="C12" s="20"/>
      <c r="D12" s="20"/>
      <c r="E12" s="217"/>
      <c r="F12" s="53"/>
      <c r="G12" s="53"/>
      <c r="H12" s="53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74"/>
    </row>
    <row r="13" spans="2:20" x14ac:dyDescent="0.25">
      <c r="B13" s="73"/>
      <c r="C13" s="20"/>
      <c r="D13" s="20"/>
      <c r="E13" s="217"/>
      <c r="F13" s="53"/>
      <c r="G13" s="53"/>
      <c r="H13" s="53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74"/>
    </row>
    <row r="14" spans="2:20" x14ac:dyDescent="0.25">
      <c r="B14" s="73"/>
      <c r="C14" s="20"/>
      <c r="D14" s="20"/>
      <c r="E14" s="217" t="s">
        <v>178</v>
      </c>
      <c r="F14" s="53"/>
      <c r="G14" s="159">
        <v>20</v>
      </c>
      <c r="H14" s="53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74"/>
    </row>
    <row r="15" spans="2:20" x14ac:dyDescent="0.25">
      <c r="B15" s="73"/>
      <c r="C15" s="20"/>
      <c r="D15" s="20"/>
      <c r="E15" s="217"/>
      <c r="F15" s="53"/>
      <c r="G15" s="53"/>
      <c r="H15" s="53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74"/>
    </row>
    <row r="16" spans="2:20" x14ac:dyDescent="0.25">
      <c r="B16" s="73"/>
      <c r="C16" s="20"/>
      <c r="D16" s="20"/>
      <c r="E16" s="217"/>
      <c r="F16" s="53"/>
      <c r="G16" s="53"/>
      <c r="H16" s="53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74"/>
    </row>
    <row r="17" spans="2:20" x14ac:dyDescent="0.25">
      <c r="B17" s="73"/>
      <c r="C17" s="20"/>
      <c r="D17" s="20"/>
      <c r="E17" s="217"/>
      <c r="F17" s="53"/>
      <c r="G17" s="53"/>
      <c r="H17" s="53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74"/>
    </row>
    <row r="18" spans="2:20" x14ac:dyDescent="0.25">
      <c r="B18" s="73"/>
      <c r="C18" s="20"/>
      <c r="D18" s="20"/>
      <c r="E18" s="217"/>
      <c r="F18" s="53"/>
      <c r="G18" s="53"/>
      <c r="H18" s="53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74"/>
    </row>
    <row r="19" spans="2:20" x14ac:dyDescent="0.25">
      <c r="B19" s="73"/>
      <c r="C19" s="20"/>
      <c r="D19" s="20"/>
      <c r="E19" s="217"/>
      <c r="F19" s="53"/>
      <c r="G19" s="53"/>
      <c r="H19" s="53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74"/>
    </row>
    <row r="20" spans="2:20" x14ac:dyDescent="0.25">
      <c r="B20" s="73"/>
      <c r="C20" s="20"/>
      <c r="D20" s="20"/>
      <c r="E20" s="217" t="s">
        <v>179</v>
      </c>
      <c r="F20" s="53"/>
      <c r="G20" s="53"/>
      <c r="H20" s="53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74"/>
    </row>
    <row r="21" spans="2:20" x14ac:dyDescent="0.25">
      <c r="B21" s="73"/>
      <c r="C21" s="20"/>
      <c r="D21" s="20"/>
      <c r="E21" s="217"/>
      <c r="F21" s="53"/>
      <c r="G21" s="53"/>
      <c r="H21" s="53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74"/>
    </row>
    <row r="22" spans="2:20" x14ac:dyDescent="0.25">
      <c r="B22" s="73"/>
      <c r="C22" s="20"/>
      <c r="D22" s="20"/>
      <c r="E22" s="217"/>
      <c r="F22" s="53"/>
      <c r="G22" s="53"/>
      <c r="H22" s="53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74"/>
    </row>
    <row r="23" spans="2:20" x14ac:dyDescent="0.25">
      <c r="B23" s="73"/>
      <c r="C23" s="20"/>
      <c r="D23" s="20"/>
      <c r="E23" s="217"/>
      <c r="F23" s="53"/>
      <c r="G23" s="53"/>
      <c r="H23" s="53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74"/>
    </row>
    <row r="24" spans="2:20" x14ac:dyDescent="0.25">
      <c r="B24" s="73"/>
      <c r="C24" s="20"/>
      <c r="D24" s="20"/>
      <c r="E24" s="217"/>
      <c r="F24" s="53"/>
      <c r="G24" s="53"/>
      <c r="H24" s="53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74"/>
    </row>
    <row r="25" spans="2:20" x14ac:dyDescent="0.25">
      <c r="B25" s="73"/>
      <c r="C25" s="20"/>
      <c r="D25" s="20"/>
      <c r="E25" s="217"/>
      <c r="F25" s="53"/>
      <c r="G25" s="53"/>
      <c r="H25" s="53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74"/>
    </row>
    <row r="26" spans="2:20" x14ac:dyDescent="0.25">
      <c r="B26" s="73"/>
      <c r="C26" s="20"/>
      <c r="D26" s="20"/>
      <c r="E26" s="217"/>
      <c r="F26" s="53"/>
      <c r="G26" s="53"/>
      <c r="H26" s="53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74"/>
    </row>
    <row r="27" spans="2:20" x14ac:dyDescent="0.25">
      <c r="B27" s="73"/>
      <c r="C27" s="20"/>
      <c r="D27" s="20"/>
      <c r="E27" s="217"/>
      <c r="F27" s="53" t="s">
        <v>180</v>
      </c>
      <c r="G27" s="53"/>
      <c r="H27" s="105">
        <v>250000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74"/>
    </row>
    <row r="28" spans="2:20" x14ac:dyDescent="0.25">
      <c r="B28" s="73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74"/>
    </row>
    <row r="29" spans="2:20" x14ac:dyDescent="0.25">
      <c r="B29" s="73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74"/>
    </row>
    <row r="30" spans="2:20" x14ac:dyDescent="0.25">
      <c r="B30" s="73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74"/>
    </row>
    <row r="31" spans="2:20" ht="21" x14ac:dyDescent="0.35">
      <c r="B31" s="73"/>
      <c r="C31" s="75" t="s">
        <v>181</v>
      </c>
      <c r="D31" s="20"/>
      <c r="E31" s="320" t="s">
        <v>182</v>
      </c>
      <c r="F31" s="293" t="s">
        <v>15</v>
      </c>
      <c r="G31" s="295"/>
      <c r="H31" s="319" t="s">
        <v>183</v>
      </c>
      <c r="I31" s="319"/>
      <c r="J31" s="319"/>
      <c r="K31" s="319"/>
      <c r="L31" s="319"/>
      <c r="M31" s="319"/>
      <c r="N31" s="319"/>
      <c r="O31" s="319"/>
      <c r="P31" s="282" t="s">
        <v>184</v>
      </c>
      <c r="Q31" s="20"/>
      <c r="R31" s="20"/>
      <c r="S31" s="20"/>
      <c r="T31" s="74"/>
    </row>
    <row r="32" spans="2:20" x14ac:dyDescent="0.25">
      <c r="B32" s="73"/>
      <c r="C32" s="20"/>
      <c r="D32" s="20"/>
      <c r="E32" s="321"/>
      <c r="F32" s="296"/>
      <c r="G32" s="297"/>
      <c r="H32" s="282" t="s">
        <v>185</v>
      </c>
      <c r="I32" s="282"/>
      <c r="J32" s="282"/>
      <c r="K32" s="282"/>
      <c r="L32" s="282"/>
      <c r="M32" s="282" t="s">
        <v>186</v>
      </c>
      <c r="N32" s="282"/>
      <c r="O32" s="282"/>
      <c r="P32" s="282"/>
      <c r="Q32" s="130"/>
      <c r="R32" s="130"/>
      <c r="S32" s="20"/>
      <c r="T32" s="74"/>
    </row>
    <row r="33" spans="2:20" ht="30" x14ac:dyDescent="0.25">
      <c r="B33" s="73"/>
      <c r="C33" s="20"/>
      <c r="D33" s="20"/>
      <c r="E33" s="321"/>
      <c r="F33" s="296"/>
      <c r="G33" s="297"/>
      <c r="H33" s="165" t="s">
        <v>187</v>
      </c>
      <c r="I33" s="165" t="s">
        <v>188</v>
      </c>
      <c r="J33" s="161" t="s">
        <v>189</v>
      </c>
      <c r="K33" s="161" t="s">
        <v>190</v>
      </c>
      <c r="L33" s="65" t="s">
        <v>191</v>
      </c>
      <c r="M33" s="165" t="s">
        <v>192</v>
      </c>
      <c r="N33" s="165" t="s">
        <v>193</v>
      </c>
      <c r="O33" s="66" t="s">
        <v>28</v>
      </c>
      <c r="P33" s="165" t="s">
        <v>192</v>
      </c>
      <c r="Q33" s="20"/>
      <c r="R33" s="20"/>
      <c r="S33" s="20"/>
      <c r="T33" s="74"/>
    </row>
    <row r="34" spans="2:20" ht="17.25" x14ac:dyDescent="0.25">
      <c r="B34" s="73"/>
      <c r="C34" s="20"/>
      <c r="D34" s="20"/>
      <c r="E34" s="322"/>
      <c r="F34" s="294"/>
      <c r="G34" s="298"/>
      <c r="H34" s="1"/>
      <c r="I34" s="162" t="s">
        <v>194</v>
      </c>
      <c r="J34" s="162" t="s">
        <v>195</v>
      </c>
      <c r="K34" s="162" t="s">
        <v>194</v>
      </c>
      <c r="L34" s="162" t="s">
        <v>196</v>
      </c>
      <c r="M34" s="62" t="s">
        <v>197</v>
      </c>
      <c r="N34" s="62" t="s">
        <v>197</v>
      </c>
      <c r="O34" s="62" t="s">
        <v>197</v>
      </c>
      <c r="P34" s="62" t="s">
        <v>198</v>
      </c>
      <c r="Q34" s="20"/>
      <c r="R34" s="20"/>
      <c r="S34" s="20"/>
      <c r="T34" s="74"/>
    </row>
    <row r="35" spans="2:20" x14ac:dyDescent="0.25">
      <c r="B35" s="73"/>
      <c r="C35" s="20"/>
      <c r="D35" s="20"/>
      <c r="E35" s="143">
        <v>1</v>
      </c>
      <c r="F35" s="283" t="s">
        <v>199</v>
      </c>
      <c r="G35" s="287"/>
      <c r="H35" s="215"/>
      <c r="I35" s="305">
        <f>'Mass flow'!Q70*365</f>
        <v>5641075</v>
      </c>
      <c r="J35" s="272">
        <v>0</v>
      </c>
      <c r="K35" s="308">
        <f>I35-J35</f>
        <v>5641075</v>
      </c>
      <c r="L35" s="76"/>
      <c r="M35" s="1"/>
      <c r="N35" s="1"/>
      <c r="O35" s="63"/>
      <c r="P35" s="1"/>
      <c r="Q35" s="20"/>
      <c r="R35" s="20"/>
      <c r="S35" s="20"/>
      <c r="T35" s="74"/>
    </row>
    <row r="36" spans="2:20" x14ac:dyDescent="0.25">
      <c r="B36" s="73"/>
      <c r="C36" s="20"/>
      <c r="D36" s="20"/>
      <c r="E36" s="190">
        <v>2</v>
      </c>
      <c r="F36" s="288" t="s">
        <v>40</v>
      </c>
      <c r="G36" s="163" t="s">
        <v>200</v>
      </c>
      <c r="H36" s="231"/>
      <c r="I36" s="306"/>
      <c r="J36" s="273"/>
      <c r="K36" s="270"/>
      <c r="L36" s="53"/>
      <c r="M36" s="1"/>
      <c r="N36" s="1"/>
      <c r="O36" s="63"/>
      <c r="P36" s="1"/>
      <c r="Q36" s="20"/>
      <c r="R36" s="170">
        <f>SUM(K35+K40+K47)</f>
        <v>5673032.5</v>
      </c>
      <c r="S36" s="20"/>
      <c r="T36" s="74"/>
    </row>
    <row r="37" spans="2:20" x14ac:dyDescent="0.25">
      <c r="B37" s="73"/>
      <c r="C37" s="20"/>
      <c r="D37" s="20"/>
      <c r="E37" s="190"/>
      <c r="F37" s="288"/>
      <c r="G37" s="163" t="s">
        <v>201</v>
      </c>
      <c r="H37" s="231"/>
      <c r="I37" s="306"/>
      <c r="J37" s="273"/>
      <c r="K37" s="270"/>
      <c r="L37" s="53"/>
      <c r="M37" s="1"/>
      <c r="N37" s="1"/>
      <c r="O37" s="63"/>
      <c r="P37" s="1"/>
      <c r="Q37" s="20"/>
      <c r="R37" s="20"/>
      <c r="S37" s="20"/>
      <c r="T37" s="74"/>
    </row>
    <row r="38" spans="2:20" x14ac:dyDescent="0.25">
      <c r="B38" s="73"/>
      <c r="C38" s="20"/>
      <c r="D38" s="20"/>
      <c r="E38" s="196"/>
      <c r="F38" s="288"/>
      <c r="G38" s="163" t="s">
        <v>202</v>
      </c>
      <c r="H38" s="231"/>
      <c r="I38" s="306"/>
      <c r="J38" s="273"/>
      <c r="K38" s="270"/>
      <c r="L38" s="53"/>
      <c r="M38" s="1"/>
      <c r="N38" s="1"/>
      <c r="O38" s="63"/>
      <c r="P38" s="1"/>
      <c r="Q38" s="20"/>
      <c r="R38" s="20"/>
      <c r="S38" s="20"/>
      <c r="T38" s="74"/>
    </row>
    <row r="39" spans="2:20" x14ac:dyDescent="0.25">
      <c r="B39" s="73"/>
      <c r="C39" s="20"/>
      <c r="D39" s="20"/>
      <c r="E39" s="147">
        <v>3</v>
      </c>
      <c r="F39" s="283" t="s">
        <v>43</v>
      </c>
      <c r="G39" s="284"/>
      <c r="H39" s="216"/>
      <c r="I39" s="307"/>
      <c r="J39" s="274"/>
      <c r="K39" s="271"/>
      <c r="L39" s="53"/>
      <c r="M39" s="1"/>
      <c r="N39" s="1"/>
      <c r="O39" s="63"/>
      <c r="P39" s="1"/>
      <c r="Q39" s="20"/>
      <c r="R39" s="20"/>
      <c r="S39" s="20"/>
      <c r="T39" s="74"/>
    </row>
    <row r="40" spans="2:20" x14ac:dyDescent="0.25">
      <c r="B40" s="73"/>
      <c r="C40" s="20"/>
      <c r="D40" s="20"/>
      <c r="E40" s="189">
        <v>4</v>
      </c>
      <c r="F40" s="293" t="s">
        <v>203</v>
      </c>
      <c r="G40" s="164" t="s">
        <v>82</v>
      </c>
      <c r="H40" s="148"/>
      <c r="I40" s="168">
        <v>0</v>
      </c>
      <c r="J40" s="111">
        <f>'Mass flow'!AY72*365</f>
        <v>1098812.5</v>
      </c>
      <c r="K40" s="113">
        <f>I40-J40</f>
        <v>-1098812.5</v>
      </c>
      <c r="L40" s="53"/>
      <c r="M40" s="1"/>
      <c r="N40" s="1"/>
      <c r="O40" s="63"/>
      <c r="P40" s="1"/>
      <c r="Q40" s="20"/>
      <c r="R40" s="20"/>
      <c r="S40" s="20"/>
      <c r="T40" s="74"/>
    </row>
    <row r="41" spans="2:20" x14ac:dyDescent="0.25">
      <c r="B41" s="73"/>
      <c r="C41" s="20"/>
      <c r="D41" s="20"/>
      <c r="E41" s="196"/>
      <c r="F41" s="294"/>
      <c r="G41" s="164" t="s">
        <v>92</v>
      </c>
      <c r="H41" s="61"/>
      <c r="I41" s="112">
        <v>0</v>
      </c>
      <c r="J41" s="111">
        <f>'Mass flow'!AY73/References!AA16*365</f>
        <v>2382717.0555555555</v>
      </c>
      <c r="K41" s="113">
        <f>I41-J41</f>
        <v>-2382717.0555555555</v>
      </c>
      <c r="L41" s="53"/>
      <c r="M41" s="1"/>
      <c r="N41" s="1"/>
      <c r="O41" s="63"/>
      <c r="P41" s="1"/>
      <c r="Q41" s="20"/>
      <c r="R41" s="20"/>
      <c r="S41" s="20"/>
      <c r="T41" s="74"/>
    </row>
    <row r="42" spans="2:20" x14ac:dyDescent="0.25">
      <c r="B42" s="73"/>
      <c r="C42" s="20"/>
      <c r="D42" s="20"/>
      <c r="E42" s="144"/>
      <c r="F42" s="166"/>
      <c r="G42" s="164"/>
      <c r="H42" s="61"/>
      <c r="I42" s="112"/>
      <c r="J42" s="111">
        <f>SUM(J40:J41)</f>
        <v>3481529.5555555555</v>
      </c>
      <c r="K42" s="113"/>
      <c r="L42" s="53"/>
      <c r="M42" s="1"/>
      <c r="N42" s="1"/>
      <c r="O42" s="63"/>
      <c r="P42" s="1"/>
      <c r="Q42" s="20"/>
      <c r="R42" s="20">
        <f>K35/365</f>
        <v>15455</v>
      </c>
      <c r="S42" s="20"/>
      <c r="T42" s="74"/>
    </row>
    <row r="43" spans="2:20" x14ac:dyDescent="0.25">
      <c r="B43" s="73"/>
      <c r="C43" s="20"/>
      <c r="D43" s="20"/>
      <c r="E43" s="251">
        <v>5</v>
      </c>
      <c r="F43" s="304" t="s">
        <v>49</v>
      </c>
      <c r="G43" s="68" t="s">
        <v>50</v>
      </c>
      <c r="H43" s="69"/>
      <c r="I43" s="69"/>
      <c r="J43" s="69" t="s">
        <v>204</v>
      </c>
      <c r="K43" s="56">
        <f t="shared" ref="K43:K46" si="0">H43*$J$50</f>
        <v>0</v>
      </c>
      <c r="L43" s="64"/>
      <c r="M43" s="64"/>
      <c r="N43" s="64"/>
      <c r="O43" s="63"/>
      <c r="P43" s="64"/>
      <c r="Q43" s="20"/>
      <c r="R43" s="20"/>
      <c r="S43" s="20"/>
      <c r="T43" s="74"/>
    </row>
    <row r="44" spans="2:20" x14ac:dyDescent="0.25">
      <c r="B44" s="73"/>
      <c r="C44" s="20"/>
      <c r="D44" s="20"/>
      <c r="E44" s="309"/>
      <c r="F44" s="304"/>
      <c r="G44" s="68" t="s">
        <v>178</v>
      </c>
      <c r="H44" s="69"/>
      <c r="I44" s="69"/>
      <c r="J44" s="69" t="s">
        <v>204</v>
      </c>
      <c r="K44" s="56">
        <f t="shared" si="0"/>
        <v>0</v>
      </c>
      <c r="L44" s="64"/>
      <c r="M44" s="64"/>
      <c r="N44" s="64"/>
      <c r="O44" s="63"/>
      <c r="P44" s="64"/>
      <c r="Q44" s="20"/>
      <c r="R44" s="20"/>
      <c r="S44" s="20"/>
      <c r="T44" s="74"/>
    </row>
    <row r="45" spans="2:20" x14ac:dyDescent="0.25">
      <c r="B45" s="73"/>
      <c r="C45" s="20"/>
      <c r="D45" s="20"/>
      <c r="E45" s="252"/>
      <c r="F45" s="304"/>
      <c r="G45" s="68" t="s">
        <v>179</v>
      </c>
      <c r="H45" s="69"/>
      <c r="I45" s="69"/>
      <c r="J45" s="69" t="s">
        <v>204</v>
      </c>
      <c r="K45" s="56">
        <f t="shared" si="0"/>
        <v>0</v>
      </c>
      <c r="L45" s="64"/>
      <c r="M45" s="64"/>
      <c r="N45" s="64"/>
      <c r="O45" s="63"/>
      <c r="P45" s="64"/>
      <c r="Q45" s="20"/>
      <c r="R45" s="20"/>
      <c r="S45" s="20"/>
      <c r="T45" s="74"/>
    </row>
    <row r="46" spans="2:20" x14ac:dyDescent="0.25">
      <c r="B46" s="73"/>
      <c r="C46" s="20"/>
      <c r="D46" s="20"/>
      <c r="E46" s="147">
        <v>6</v>
      </c>
      <c r="F46" s="268" t="s">
        <v>57</v>
      </c>
      <c r="G46" s="283"/>
      <c r="H46" s="61"/>
      <c r="I46" s="61"/>
      <c r="J46" s="62" t="s">
        <v>204</v>
      </c>
      <c r="K46" s="16">
        <f t="shared" si="0"/>
        <v>0</v>
      </c>
      <c r="L46" s="53"/>
      <c r="M46" s="1"/>
      <c r="N46" s="1"/>
      <c r="O46" s="63"/>
      <c r="P46" s="1"/>
      <c r="Q46" s="20"/>
      <c r="T46" s="74"/>
    </row>
    <row r="47" spans="2:20" x14ac:dyDescent="0.25">
      <c r="B47" s="73"/>
      <c r="C47" s="20"/>
      <c r="D47" s="20"/>
      <c r="E47" s="156">
        <v>7</v>
      </c>
      <c r="F47" s="285" t="s">
        <v>60</v>
      </c>
      <c r="G47" s="286"/>
      <c r="H47" s="61"/>
      <c r="I47" s="112">
        <f>'Mass flow'!CF70*365</f>
        <v>1130770</v>
      </c>
      <c r="J47" s="107">
        <v>0</v>
      </c>
      <c r="K47" s="16">
        <f>I47-J47</f>
        <v>1130770</v>
      </c>
      <c r="L47" s="53"/>
      <c r="M47" s="1"/>
      <c r="N47" s="1"/>
      <c r="O47" s="63"/>
      <c r="P47" s="19"/>
      <c r="Q47" s="20"/>
      <c r="R47" s="17">
        <f>I47/365</f>
        <v>3098</v>
      </c>
      <c r="T47" s="74"/>
    </row>
    <row r="48" spans="2:20" x14ac:dyDescent="0.25">
      <c r="B48" s="73"/>
      <c r="C48" s="20"/>
      <c r="D48" s="20"/>
      <c r="E48" s="149">
        <v>8</v>
      </c>
      <c r="F48" s="299" t="s">
        <v>63</v>
      </c>
      <c r="G48" s="300"/>
      <c r="H48" s="61"/>
      <c r="I48" s="61"/>
      <c r="J48" s="62" t="s">
        <v>204</v>
      </c>
      <c r="K48" s="16">
        <v>0</v>
      </c>
      <c r="L48" s="53"/>
      <c r="M48" s="1"/>
      <c r="N48" s="1"/>
      <c r="O48" s="63"/>
      <c r="P48" s="1"/>
      <c r="Q48" s="20"/>
      <c r="T48" s="74"/>
    </row>
    <row r="49" spans="2:29" x14ac:dyDescent="0.25">
      <c r="B49" s="73"/>
      <c r="C49" s="20"/>
      <c r="D49" s="20"/>
      <c r="E49" s="20"/>
      <c r="F49" s="20"/>
      <c r="G49" s="20"/>
      <c r="H49" s="20"/>
      <c r="I49" s="20"/>
      <c r="J49" s="20"/>
      <c r="K49" s="59"/>
      <c r="L49" s="20"/>
      <c r="M49" s="20"/>
      <c r="N49" s="20"/>
      <c r="O49" s="20"/>
      <c r="P49" s="20"/>
      <c r="Q49" s="20"/>
      <c r="T49" s="74"/>
    </row>
    <row r="50" spans="2:29" x14ac:dyDescent="0.25">
      <c r="B50" s="73"/>
      <c r="C50" s="20"/>
      <c r="D50" s="20"/>
      <c r="E50" s="282" t="s">
        <v>28</v>
      </c>
      <c r="F50" s="282"/>
      <c r="G50" s="282"/>
      <c r="H50" s="67">
        <f>100%</f>
        <v>1</v>
      </c>
      <c r="I50" s="60"/>
      <c r="J50" s="60"/>
      <c r="K50" s="114">
        <f>SUM(K35:K48)</f>
        <v>3290315.4444444445</v>
      </c>
      <c r="L50" s="20"/>
      <c r="M50" s="20"/>
      <c r="N50" s="20"/>
      <c r="O50" s="20"/>
      <c r="P50" s="20"/>
      <c r="Q50" s="20"/>
      <c r="T50" s="74"/>
    </row>
    <row r="51" spans="2:29" x14ac:dyDescent="0.25">
      <c r="B51" s="73"/>
      <c r="C51" s="20"/>
      <c r="D51" s="20"/>
      <c r="E51" s="20"/>
      <c r="F51" s="20"/>
      <c r="G51" s="20"/>
      <c r="H51" s="20"/>
      <c r="I51" s="20"/>
      <c r="J51" s="20"/>
      <c r="K51" s="59"/>
      <c r="L51" s="20"/>
      <c r="M51" s="20"/>
      <c r="N51" s="20"/>
      <c r="O51" s="20"/>
      <c r="P51" s="20"/>
      <c r="Q51" s="20"/>
      <c r="T51" s="74"/>
    </row>
    <row r="52" spans="2:29" x14ac:dyDescent="0.25">
      <c r="B52" s="73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T52" s="74"/>
    </row>
    <row r="53" spans="2:29" x14ac:dyDescent="0.25">
      <c r="B53" s="73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T53" s="74"/>
    </row>
    <row r="54" spans="2:29" x14ac:dyDescent="0.25">
      <c r="B54" s="73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T54" s="74"/>
    </row>
    <row r="55" spans="2:29" x14ac:dyDescent="0.25">
      <c r="B55" s="73"/>
      <c r="C55" s="20"/>
      <c r="Q55" s="20"/>
      <c r="T55" s="74"/>
    </row>
    <row r="56" spans="2:29" ht="21" x14ac:dyDescent="0.35">
      <c r="B56" s="73"/>
      <c r="C56" s="75" t="s">
        <v>205</v>
      </c>
      <c r="E56" s="320" t="s">
        <v>182</v>
      </c>
      <c r="F56" s="293" t="s">
        <v>15</v>
      </c>
      <c r="G56" s="295"/>
      <c r="H56" s="319" t="s">
        <v>206</v>
      </c>
      <c r="I56" s="319"/>
      <c r="J56" s="319"/>
      <c r="K56" s="319"/>
      <c r="L56" s="319"/>
      <c r="M56" s="319"/>
      <c r="N56" s="319"/>
      <c r="O56" s="319"/>
      <c r="P56" s="268" t="s">
        <v>184</v>
      </c>
      <c r="Q56" s="20"/>
      <c r="T56" s="74"/>
      <c r="AB56" s="20"/>
      <c r="AC56" s="20"/>
    </row>
    <row r="57" spans="2:29" x14ac:dyDescent="0.25">
      <c r="B57" s="73"/>
      <c r="C57" s="20"/>
      <c r="E57" s="321"/>
      <c r="F57" s="296"/>
      <c r="G57" s="297"/>
      <c r="H57" s="282" t="s">
        <v>185</v>
      </c>
      <c r="I57" s="282"/>
      <c r="J57" s="282"/>
      <c r="K57" s="282"/>
      <c r="L57" s="282"/>
      <c r="M57" s="282" t="s">
        <v>186</v>
      </c>
      <c r="N57" s="282"/>
      <c r="O57" s="282"/>
      <c r="P57" s="268"/>
      <c r="Q57" s="20"/>
      <c r="T57" s="74"/>
      <c r="AB57" s="20"/>
      <c r="AC57" s="162"/>
    </row>
    <row r="58" spans="2:29" ht="30" x14ac:dyDescent="0.25">
      <c r="B58" s="73"/>
      <c r="C58" s="20"/>
      <c r="E58" s="321"/>
      <c r="F58" s="296"/>
      <c r="G58" s="297"/>
      <c r="H58" s="165" t="s">
        <v>187</v>
      </c>
      <c r="I58" s="165" t="s">
        <v>188</v>
      </c>
      <c r="J58" s="161" t="s">
        <v>189</v>
      </c>
      <c r="K58" s="161" t="s">
        <v>190</v>
      </c>
      <c r="L58" s="65" t="s">
        <v>191</v>
      </c>
      <c r="M58" s="165" t="s">
        <v>192</v>
      </c>
      <c r="N58" s="165" t="s">
        <v>193</v>
      </c>
      <c r="O58" s="66" t="s">
        <v>28</v>
      </c>
      <c r="P58" s="165" t="s">
        <v>192</v>
      </c>
      <c r="Q58" s="20"/>
      <c r="T58" s="74"/>
      <c r="AB58" s="20"/>
      <c r="AC58" s="20"/>
    </row>
    <row r="59" spans="2:29" ht="17.25" x14ac:dyDescent="0.25">
      <c r="B59" s="73"/>
      <c r="C59" s="20"/>
      <c r="E59" s="322"/>
      <c r="F59" s="294"/>
      <c r="G59" s="298"/>
      <c r="H59" s="1"/>
      <c r="I59" s="162" t="s">
        <v>195</v>
      </c>
      <c r="J59" s="162" t="s">
        <v>195</v>
      </c>
      <c r="K59" s="162" t="s">
        <v>195</v>
      </c>
      <c r="L59" s="162" t="s">
        <v>196</v>
      </c>
      <c r="M59" s="62" t="s">
        <v>197</v>
      </c>
      <c r="N59" s="62" t="s">
        <v>197</v>
      </c>
      <c r="O59" s="62" t="s">
        <v>197</v>
      </c>
      <c r="P59" s="62" t="s">
        <v>198</v>
      </c>
      <c r="Q59" s="20"/>
      <c r="T59" s="74"/>
      <c r="AB59" s="20"/>
      <c r="AC59" s="20"/>
    </row>
    <row r="60" spans="2:29" x14ac:dyDescent="0.25">
      <c r="B60" s="73"/>
      <c r="C60" s="20"/>
      <c r="E60" s="143">
        <v>1</v>
      </c>
      <c r="F60" s="283" t="s">
        <v>199</v>
      </c>
      <c r="G60" s="287"/>
      <c r="H60" s="215"/>
      <c r="I60" s="313">
        <f>I35-69410</f>
        <v>5571665</v>
      </c>
      <c r="J60" s="272">
        <v>0</v>
      </c>
      <c r="K60" s="269">
        <f>I60-J60</f>
        <v>5571665</v>
      </c>
      <c r="L60" s="76"/>
      <c r="M60" s="1"/>
      <c r="N60" s="1"/>
      <c r="O60" s="63"/>
      <c r="P60" s="19"/>
      <c r="Q60" s="20"/>
      <c r="T60" s="74"/>
      <c r="AB60" s="20"/>
      <c r="AC60" s="20"/>
    </row>
    <row r="61" spans="2:29" x14ac:dyDescent="0.25">
      <c r="B61" s="73"/>
      <c r="C61" s="20"/>
      <c r="E61" s="190">
        <v>2</v>
      </c>
      <c r="F61" s="288" t="s">
        <v>40</v>
      </c>
      <c r="G61" s="163" t="s">
        <v>200</v>
      </c>
      <c r="H61" s="231"/>
      <c r="I61" s="314"/>
      <c r="J61" s="273"/>
      <c r="K61" s="270"/>
      <c r="L61" s="53"/>
      <c r="M61" s="1"/>
      <c r="N61" s="1"/>
      <c r="O61" s="63"/>
      <c r="P61" s="19"/>
      <c r="Q61" s="20"/>
      <c r="T61" s="74"/>
      <c r="AB61" s="20"/>
      <c r="AC61" s="20"/>
    </row>
    <row r="62" spans="2:29" x14ac:dyDescent="0.25">
      <c r="B62" s="73"/>
      <c r="C62" s="20"/>
      <c r="E62" s="190"/>
      <c r="F62" s="288"/>
      <c r="G62" s="163" t="s">
        <v>201</v>
      </c>
      <c r="H62" s="231"/>
      <c r="I62" s="314"/>
      <c r="J62" s="273"/>
      <c r="K62" s="270"/>
      <c r="L62" s="53"/>
      <c r="M62" s="162">
        <v>-1294</v>
      </c>
      <c r="N62" s="1"/>
      <c r="O62" s="63"/>
      <c r="P62" s="131">
        <f>'Mass flow'!Q74*365</f>
        <v>5556.0967950000004</v>
      </c>
      <c r="Q62" s="20"/>
      <c r="T62" s="74"/>
      <c r="AB62" s="20"/>
      <c r="AC62" s="20"/>
    </row>
    <row r="63" spans="2:29" x14ac:dyDescent="0.25">
      <c r="B63" s="73"/>
      <c r="C63" s="20"/>
      <c r="E63" s="196"/>
      <c r="F63" s="288"/>
      <c r="G63" s="163" t="s">
        <v>202</v>
      </c>
      <c r="H63" s="231"/>
      <c r="I63" s="314"/>
      <c r="J63" s="273"/>
      <c r="K63" s="270"/>
      <c r="L63" s="53"/>
      <c r="M63" s="1"/>
      <c r="N63" s="1"/>
      <c r="O63" s="63"/>
      <c r="P63" s="19"/>
      <c r="Q63" s="20"/>
      <c r="R63" s="171"/>
      <c r="T63" s="74"/>
      <c r="AB63" s="20"/>
      <c r="AC63" s="20"/>
    </row>
    <row r="64" spans="2:29" x14ac:dyDescent="0.25">
      <c r="B64" s="73"/>
      <c r="C64" s="20"/>
      <c r="E64" s="147">
        <v>3</v>
      </c>
      <c r="F64" s="283" t="s">
        <v>43</v>
      </c>
      <c r="G64" s="284"/>
      <c r="H64" s="216"/>
      <c r="I64" s="315"/>
      <c r="J64" s="274"/>
      <c r="K64" s="271"/>
      <c r="L64" s="53"/>
      <c r="M64" s="1"/>
      <c r="N64" s="1"/>
      <c r="O64" s="63"/>
      <c r="P64" s="19"/>
      <c r="Q64" s="20"/>
      <c r="T64" s="74"/>
      <c r="AB64" s="20"/>
      <c r="AC64" s="20"/>
    </row>
    <row r="65" spans="2:29" x14ac:dyDescent="0.25">
      <c r="B65" s="73"/>
      <c r="C65" s="20"/>
      <c r="E65" s="251">
        <v>4</v>
      </c>
      <c r="F65" s="293" t="s">
        <v>203</v>
      </c>
      <c r="G65" s="164" t="s">
        <v>82</v>
      </c>
      <c r="H65" s="148"/>
      <c r="I65" s="169">
        <v>0</v>
      </c>
      <c r="J65" s="107">
        <v>1098813</v>
      </c>
      <c r="K65" s="113">
        <f>I65-J65</f>
        <v>-1098813</v>
      </c>
      <c r="L65" s="53"/>
      <c r="M65" s="1"/>
      <c r="N65" s="1"/>
      <c r="O65" s="63"/>
      <c r="P65" s="19"/>
      <c r="Q65" s="20"/>
      <c r="T65" s="74"/>
      <c r="AB65" s="20"/>
      <c r="AC65" s="20"/>
    </row>
    <row r="66" spans="2:29" x14ac:dyDescent="0.25">
      <c r="B66" s="73"/>
      <c r="C66" s="20"/>
      <c r="E66" s="252"/>
      <c r="F66" s="294"/>
      <c r="G66" s="164" t="s">
        <v>92</v>
      </c>
      <c r="H66" s="61"/>
      <c r="I66" s="112">
        <v>0</v>
      </c>
      <c r="J66" s="111">
        <v>2382717</v>
      </c>
      <c r="K66" s="113">
        <f>I66-J66</f>
        <v>-2382717</v>
      </c>
      <c r="L66" s="53"/>
      <c r="M66" s="1"/>
      <c r="N66" s="1"/>
      <c r="O66" s="63"/>
      <c r="P66" s="19"/>
      <c r="Q66" s="20"/>
      <c r="T66" s="74"/>
      <c r="AB66" s="20"/>
      <c r="AC66" s="20"/>
    </row>
    <row r="67" spans="2:29" x14ac:dyDescent="0.25">
      <c r="B67" s="73"/>
      <c r="C67" s="20"/>
      <c r="E67" s="289">
        <v>5</v>
      </c>
      <c r="F67" s="292" t="s">
        <v>49</v>
      </c>
      <c r="G67" s="89" t="s">
        <v>50</v>
      </c>
      <c r="H67" s="310"/>
      <c r="I67" s="316">
        <v>50544</v>
      </c>
      <c r="J67" s="275">
        <v>0</v>
      </c>
      <c r="K67" s="278">
        <f>I67-J67</f>
        <v>50544</v>
      </c>
      <c r="L67" s="90"/>
      <c r="M67" s="289">
        <v>22090</v>
      </c>
      <c r="N67" s="289">
        <f>4000+7700</f>
        <v>11700</v>
      </c>
      <c r="O67" s="91"/>
      <c r="P67" s="281">
        <f>('Mass flow'!BG70*365)/1000</f>
        <v>294.55500000000001</v>
      </c>
      <c r="Q67" s="20"/>
      <c r="T67" s="74"/>
      <c r="AB67" s="20"/>
      <c r="AC67" s="20"/>
    </row>
    <row r="68" spans="2:29" x14ac:dyDescent="0.25">
      <c r="B68" s="73"/>
      <c r="C68" s="20"/>
      <c r="E68" s="290"/>
      <c r="F68" s="292"/>
      <c r="G68" s="89" t="s">
        <v>178</v>
      </c>
      <c r="H68" s="311"/>
      <c r="I68" s="317"/>
      <c r="J68" s="276"/>
      <c r="K68" s="279"/>
      <c r="L68" s="90"/>
      <c r="M68" s="290"/>
      <c r="N68" s="290"/>
      <c r="O68" s="91"/>
      <c r="P68" s="190"/>
      <c r="Q68" s="20"/>
      <c r="T68" s="74"/>
      <c r="AB68" s="20"/>
      <c r="AC68" s="20"/>
    </row>
    <row r="69" spans="2:29" x14ac:dyDescent="0.25">
      <c r="B69" s="73"/>
      <c r="C69" s="20"/>
      <c r="E69" s="291"/>
      <c r="F69" s="292"/>
      <c r="G69" s="89" t="s">
        <v>179</v>
      </c>
      <c r="H69" s="312"/>
      <c r="I69" s="318"/>
      <c r="J69" s="277"/>
      <c r="K69" s="280"/>
      <c r="L69" s="90"/>
      <c r="M69" s="291"/>
      <c r="N69" s="291"/>
      <c r="O69" s="91"/>
      <c r="P69" s="196"/>
      <c r="Q69" s="20"/>
      <c r="T69" s="74"/>
      <c r="AB69" s="20"/>
      <c r="AC69" s="20"/>
    </row>
    <row r="70" spans="2:29" x14ac:dyDescent="0.25">
      <c r="B70" s="73"/>
      <c r="C70" s="20"/>
      <c r="E70" s="147">
        <v>6</v>
      </c>
      <c r="F70" s="268" t="s">
        <v>57</v>
      </c>
      <c r="G70" s="283"/>
      <c r="H70" s="61"/>
      <c r="I70" s="112">
        <v>0</v>
      </c>
      <c r="J70" s="107">
        <v>0</v>
      </c>
      <c r="K70" s="16">
        <f>I70-J70</f>
        <v>0</v>
      </c>
      <c r="L70" s="53"/>
      <c r="M70" s="1"/>
      <c r="N70" s="1"/>
      <c r="O70" s="63"/>
      <c r="P70" s="19"/>
      <c r="Q70" s="20"/>
      <c r="T70" s="74"/>
      <c r="AB70" s="20"/>
      <c r="AC70" s="20"/>
    </row>
    <row r="71" spans="2:29" x14ac:dyDescent="0.25">
      <c r="B71" s="73"/>
      <c r="C71" s="20"/>
      <c r="E71" s="156">
        <v>7</v>
      </c>
      <c r="F71" s="285" t="s">
        <v>60</v>
      </c>
      <c r="G71" s="286"/>
      <c r="H71" s="61"/>
      <c r="I71" s="115">
        <f>I47-1778.26*10</f>
        <v>1112987.3999999999</v>
      </c>
      <c r="J71" s="107">
        <v>0</v>
      </c>
      <c r="K71" s="113">
        <f>I71-J71</f>
        <v>1112987.3999999999</v>
      </c>
      <c r="L71" s="53"/>
      <c r="M71" s="162">
        <v>-17527.080000000002</v>
      </c>
      <c r="N71" s="162">
        <v>-1800</v>
      </c>
      <c r="O71" s="63"/>
      <c r="P71" s="147">
        <f>('Mass flow'!CF71*365)/1000</f>
        <v>150.2705</v>
      </c>
      <c r="Q71" s="20"/>
      <c r="T71" s="74"/>
      <c r="AB71" s="20"/>
      <c r="AC71" s="20"/>
    </row>
    <row r="72" spans="2:29" x14ac:dyDescent="0.25">
      <c r="B72" s="73"/>
      <c r="C72" s="20"/>
      <c r="E72" s="149">
        <v>8</v>
      </c>
      <c r="F72" s="299" t="s">
        <v>63</v>
      </c>
      <c r="G72" s="300"/>
      <c r="H72" s="61"/>
      <c r="I72" s="112">
        <v>0</v>
      </c>
      <c r="J72" s="107">
        <v>0</v>
      </c>
      <c r="K72" s="16">
        <f>I72-J72</f>
        <v>0</v>
      </c>
      <c r="L72" s="53"/>
      <c r="M72" s="1"/>
      <c r="N72" s="1"/>
      <c r="O72" s="63">
        <v>-33534.269999999997</v>
      </c>
      <c r="P72" s="19"/>
      <c r="Q72" s="20"/>
      <c r="T72" s="74"/>
      <c r="AB72" s="24"/>
      <c r="AC72" s="20"/>
    </row>
    <row r="73" spans="2:29" x14ac:dyDescent="0.25">
      <c r="B73" s="73"/>
      <c r="C73" s="20"/>
      <c r="E73" s="20"/>
      <c r="F73" s="20"/>
      <c r="G73" s="20"/>
      <c r="H73" s="20"/>
      <c r="I73" s="20"/>
      <c r="J73" s="20"/>
      <c r="K73" s="59"/>
      <c r="L73" s="20"/>
      <c r="M73" s="20"/>
      <c r="N73" s="20"/>
      <c r="O73" s="20"/>
      <c r="Q73" s="20"/>
      <c r="T73" s="74"/>
      <c r="AB73" s="20"/>
      <c r="AC73" s="20"/>
    </row>
    <row r="74" spans="2:29" x14ac:dyDescent="0.25">
      <c r="B74" s="73"/>
      <c r="C74" s="20"/>
      <c r="E74" s="282" t="s">
        <v>28</v>
      </c>
      <c r="F74" s="282"/>
      <c r="G74" s="282"/>
      <c r="H74" s="67">
        <f>100%</f>
        <v>1</v>
      </c>
      <c r="I74" s="60"/>
      <c r="J74" s="60"/>
      <c r="K74" s="114">
        <f>SUM(K60:K72)</f>
        <v>3253666.4</v>
      </c>
      <c r="L74" s="20"/>
      <c r="M74" s="20"/>
      <c r="N74" s="20"/>
      <c r="O74" s="20"/>
      <c r="Q74" s="20"/>
      <c r="R74" s="20"/>
      <c r="S74" s="20"/>
      <c r="T74" s="74"/>
      <c r="AB74" s="20"/>
      <c r="AC74" s="20"/>
    </row>
    <row r="75" spans="2:29" x14ac:dyDescent="0.25">
      <c r="B75" s="73"/>
      <c r="C75" s="20"/>
      <c r="Q75" s="20"/>
      <c r="R75" s="20"/>
      <c r="S75" s="20"/>
      <c r="T75" s="74"/>
      <c r="AB75" s="20"/>
      <c r="AC75" s="20"/>
    </row>
    <row r="76" spans="2:29" x14ac:dyDescent="0.25">
      <c r="B76" s="73"/>
      <c r="C76" s="20"/>
      <c r="Q76" s="20"/>
      <c r="R76" s="20"/>
      <c r="S76" s="20"/>
      <c r="T76" s="74"/>
      <c r="AB76" s="20"/>
      <c r="AC76" s="20"/>
    </row>
    <row r="77" spans="2:29" x14ac:dyDescent="0.25">
      <c r="B77" s="73"/>
      <c r="C77" s="20"/>
      <c r="Q77" s="20"/>
      <c r="R77" s="20"/>
      <c r="S77" s="20"/>
      <c r="T77" s="74"/>
      <c r="AB77" s="20"/>
      <c r="AC77" s="20"/>
    </row>
    <row r="78" spans="2:29" x14ac:dyDescent="0.25">
      <c r="B78" s="73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74"/>
      <c r="AB78" s="20"/>
      <c r="AC78" s="20"/>
    </row>
    <row r="79" spans="2:29" ht="15.75" thickBot="1" x14ac:dyDescent="0.3">
      <c r="B79" s="77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9"/>
      <c r="AB79" s="24"/>
      <c r="AC79" s="20"/>
    </row>
    <row r="80" spans="2:29" x14ac:dyDescent="0.25">
      <c r="AB80" s="20"/>
      <c r="AC80" s="20"/>
    </row>
    <row r="81" spans="28:29" x14ac:dyDescent="0.25">
      <c r="AB81" s="20"/>
      <c r="AC81" s="20"/>
    </row>
    <row r="82" spans="28:29" x14ac:dyDescent="0.25">
      <c r="AB82" s="20"/>
      <c r="AC82" s="20"/>
    </row>
    <row r="83" spans="28:29" x14ac:dyDescent="0.25">
      <c r="AB83" s="20"/>
      <c r="AC83" s="20"/>
    </row>
  </sheetData>
  <mergeCells count="58">
    <mergeCell ref="F72:G72"/>
    <mergeCell ref="E74:G74"/>
    <mergeCell ref="H31:O31"/>
    <mergeCell ref="H32:L32"/>
    <mergeCell ref="M32:O32"/>
    <mergeCell ref="F35:G35"/>
    <mergeCell ref="E36:E38"/>
    <mergeCell ref="F36:F38"/>
    <mergeCell ref="E31:E34"/>
    <mergeCell ref="F31:G34"/>
    <mergeCell ref="J35:J39"/>
    <mergeCell ref="H56:O56"/>
    <mergeCell ref="H57:L57"/>
    <mergeCell ref="M57:O57"/>
    <mergeCell ref="F47:G47"/>
    <mergeCell ref="E56:E59"/>
    <mergeCell ref="F43:F45"/>
    <mergeCell ref="F46:G46"/>
    <mergeCell ref="N67:N69"/>
    <mergeCell ref="M67:M69"/>
    <mergeCell ref="I35:I39"/>
    <mergeCell ref="H35:H39"/>
    <mergeCell ref="K35:K39"/>
    <mergeCell ref="E50:G50"/>
    <mergeCell ref="E43:E45"/>
    <mergeCell ref="H67:H69"/>
    <mergeCell ref="I60:I64"/>
    <mergeCell ref="H60:H64"/>
    <mergeCell ref="I67:I69"/>
    <mergeCell ref="E65:E66"/>
    <mergeCell ref="F65:F66"/>
    <mergeCell ref="D3:T3"/>
    <mergeCell ref="E7:E8"/>
    <mergeCell ref="F7:F8"/>
    <mergeCell ref="E9:E13"/>
    <mergeCell ref="E14:E19"/>
    <mergeCell ref="P31:P32"/>
    <mergeCell ref="F39:G39"/>
    <mergeCell ref="E20:E27"/>
    <mergeCell ref="G7:G8"/>
    <mergeCell ref="F71:G71"/>
    <mergeCell ref="F60:G60"/>
    <mergeCell ref="E61:E63"/>
    <mergeCell ref="F70:G70"/>
    <mergeCell ref="F61:F63"/>
    <mergeCell ref="F64:G64"/>
    <mergeCell ref="E67:E69"/>
    <mergeCell ref="F67:F69"/>
    <mergeCell ref="E40:E41"/>
    <mergeCell ref="F40:F41"/>
    <mergeCell ref="F56:G59"/>
    <mergeCell ref="F48:G48"/>
    <mergeCell ref="P56:P57"/>
    <mergeCell ref="K60:K64"/>
    <mergeCell ref="J60:J64"/>
    <mergeCell ref="J67:J69"/>
    <mergeCell ref="K67:K69"/>
    <mergeCell ref="P67:P69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topLeftCell="B4" workbookViewId="0">
      <selection activeCell="E5" sqref="E5"/>
    </sheetView>
  </sheetViews>
  <sheetFormatPr defaultRowHeight="15" x14ac:dyDescent="0.25"/>
  <cols>
    <col min="1" max="16384" width="9.140625" style="17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D13:AA39"/>
  <sheetViews>
    <sheetView tabSelected="1" topLeftCell="A16" workbookViewId="0">
      <selection activeCell="J42" sqref="J42"/>
    </sheetView>
  </sheetViews>
  <sheetFormatPr defaultRowHeight="15" x14ac:dyDescent="0.25"/>
  <cols>
    <col min="17" max="17" width="47.5703125" customWidth="1"/>
    <col min="18" max="18" width="18.85546875" customWidth="1"/>
    <col min="19" max="19" width="19.85546875" customWidth="1"/>
  </cols>
  <sheetData>
    <row r="13" spans="25:27" x14ac:dyDescent="0.25">
      <c r="Y13" t="s">
        <v>207</v>
      </c>
    </row>
    <row r="16" spans="25:27" x14ac:dyDescent="0.25">
      <c r="Y16" s="108">
        <v>1</v>
      </c>
      <c r="Z16" s="109" t="s">
        <v>208</v>
      </c>
      <c r="AA16" s="110">
        <v>3.6</v>
      </c>
    </row>
    <row r="17" spans="4:27" x14ac:dyDescent="0.25">
      <c r="Y17" s="108" t="s">
        <v>209</v>
      </c>
      <c r="AA17" s="110" t="s">
        <v>210</v>
      </c>
    </row>
    <row r="24" spans="4:27" x14ac:dyDescent="0.25">
      <c r="D24" t="s">
        <v>211</v>
      </c>
    </row>
    <row r="26" spans="4:27" ht="18" x14ac:dyDescent="0.25">
      <c r="P26" s="2" t="s">
        <v>212</v>
      </c>
      <c r="Q26" s="6" t="s">
        <v>213</v>
      </c>
      <c r="R26" s="11">
        <v>0.7</v>
      </c>
      <c r="S26" s="3"/>
    </row>
    <row r="27" spans="4:27" ht="18" x14ac:dyDescent="0.25">
      <c r="P27" s="4" t="s">
        <v>214</v>
      </c>
      <c r="Q27" s="6" t="s">
        <v>215</v>
      </c>
      <c r="R27" s="12">
        <v>2.5000000000000001E-2</v>
      </c>
      <c r="S27" s="5"/>
    </row>
    <row r="28" spans="4:27" ht="18" x14ac:dyDescent="0.25">
      <c r="P28" s="4" t="s">
        <v>216</v>
      </c>
      <c r="Q28" s="6" t="s">
        <v>217</v>
      </c>
      <c r="R28" s="13">
        <v>2.5000000000000001E-2</v>
      </c>
      <c r="S28" s="7"/>
    </row>
    <row r="29" spans="4:27" ht="18" x14ac:dyDescent="0.25">
      <c r="P29" s="4" t="s">
        <v>218</v>
      </c>
      <c r="Q29" s="6" t="s">
        <v>219</v>
      </c>
      <c r="R29" s="14">
        <v>0.1</v>
      </c>
      <c r="S29" s="7"/>
    </row>
    <row r="30" spans="4:27" ht="18" x14ac:dyDescent="0.25">
      <c r="P30" s="8" t="s">
        <v>220</v>
      </c>
      <c r="Q30" s="9" t="s">
        <v>221</v>
      </c>
      <c r="R30" s="15">
        <v>0.15</v>
      </c>
      <c r="S30" s="10"/>
    </row>
    <row r="36" spans="16:17" x14ac:dyDescent="0.25">
      <c r="P36" t="s">
        <v>222</v>
      </c>
    </row>
    <row r="38" spans="16:17" ht="15.75" thickBot="1" x14ac:dyDescent="0.3">
      <c r="P38" t="s">
        <v>223</v>
      </c>
      <c r="Q38" s="120" t="s">
        <v>224</v>
      </c>
    </row>
    <row r="39" spans="16:17" x14ac:dyDescent="0.25">
      <c r="Q39" s="109">
        <v>1.68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0AAF57E57AEB479E1999DDFE90B0EF" ma:contentTypeVersion="12" ma:contentTypeDescription="Een nieuw document maken." ma:contentTypeScope="" ma:versionID="63db85d0069171137e2eaea43bf3b32d">
  <xsd:schema xmlns:xsd="http://www.w3.org/2001/XMLSchema" xmlns:xs="http://www.w3.org/2001/XMLSchema" xmlns:p="http://schemas.microsoft.com/office/2006/metadata/properties" xmlns:ns3="17404173-5104-49a7-8f9c-6f2906e9e7b8" xmlns:ns4="b1ba26d1-4121-4ecd-8ec2-80d4cb0b628a" targetNamespace="http://schemas.microsoft.com/office/2006/metadata/properties" ma:root="true" ma:fieldsID="2a08fd0b82946b176cdabd4f87b32f2c" ns3:_="" ns4:_="">
    <xsd:import namespace="17404173-5104-49a7-8f9c-6f2906e9e7b8"/>
    <xsd:import namespace="b1ba26d1-4121-4ecd-8ec2-80d4cb0b628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404173-5104-49a7-8f9c-6f2906e9e7b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int-hash delen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ba26d1-4121-4ecd-8ec2-80d4cb0b62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BA707DA-0E9F-4505-A652-6B2EDEE0EA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404173-5104-49a7-8f9c-6f2906e9e7b8"/>
    <ds:schemaRef ds:uri="b1ba26d1-4121-4ecd-8ec2-80d4cb0b62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2DDFDEA-95B4-4A5E-85C5-6C4C7F4A386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CB07DD-8BCD-48CB-AC7E-EF598BAA8DA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b1ba26d1-4121-4ecd-8ec2-80d4cb0b628a"/>
    <ds:schemaRef ds:uri="http://schemas.microsoft.com/office/infopath/2007/PartnerControls"/>
    <ds:schemaRef ds:uri="17404173-5104-49a7-8f9c-6f2906e9e7b8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Mass flow</vt:lpstr>
      <vt:lpstr>Emissions</vt:lpstr>
      <vt:lpstr>CAPEX, OPEX</vt:lpstr>
      <vt:lpstr>Sankey diagram</vt:lpstr>
      <vt:lpstr>References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2006-09-21T08:52:22Z</dcterms:created>
  <dcterms:modified xsi:type="dcterms:W3CDTF">2021-07-22T10:09:34Z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0x010100BB0AAF57E57AEB479E1999DDFE90B0EF</vt:lpwstr>
  </property>
</Properties>
</file>